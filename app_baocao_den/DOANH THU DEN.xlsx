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áng 8" sheetId="1" r:id="rId4"/>
    <sheet state="visible" name="Tháng 9" sheetId="2" r:id="rId5"/>
    <sheet state="visible" name="THÁNG 10" sheetId="3" r:id="rId6"/>
    <sheet state="visible" name="THÁNG 11" sheetId="4" r:id="rId7"/>
    <sheet state="visible" name="THÁNG 12" sheetId="5" r:id="rId8"/>
    <sheet state="visible" name="THÁNG 1" sheetId="6" r:id="rId9"/>
    <sheet state="visible" name="THÁNG 2" sheetId="7" r:id="rId10"/>
    <sheet state="visible" name="THÁNG 3" sheetId="8" r:id="rId11"/>
    <sheet state="visible" name="THÁNG 4" sheetId="9" r:id="rId12"/>
    <sheet state="visible" name="THÁNG 5" sheetId="10" r:id="rId13"/>
    <sheet state="visible" name="THÁNG 6" sheetId="11" r:id="rId14"/>
    <sheet state="visible" name="tháng 7" sheetId="12" r:id="rId15"/>
    <sheet state="visible" name="THÁNG 823" sheetId="13" r:id="rId16"/>
    <sheet state="visible" name="THÁNG 923" sheetId="14" r:id="rId17"/>
    <sheet state="visible" name="THÁNG 1023" sheetId="15" r:id="rId18"/>
    <sheet state="visible" name="THÁNG 1123" sheetId="16" r:id="rId19"/>
    <sheet state="visible" name="THÁNG1223" sheetId="17" r:id="rId20"/>
    <sheet state="visible" name="THÁNG124" sheetId="18" r:id="rId21"/>
    <sheet state="visible" name="THÁNG 224" sheetId="19" r:id="rId22"/>
    <sheet state="visible" name="THÁNG 324" sheetId="20" r:id="rId23"/>
    <sheet state="visible" name="THÁNG 424" sheetId="21" r:id="rId24"/>
    <sheet state="visible" name="THÁNG 524" sheetId="22" r:id="rId25"/>
    <sheet state="visible" name="THÁNG 624" sheetId="23" r:id="rId26"/>
    <sheet state="visible" name="THÁNG 724" sheetId="24" r:id="rId27"/>
    <sheet state="visible" name="THÁNG 824" sheetId="25" r:id="rId28"/>
    <sheet state="visible" name="THÁNG 0924" sheetId="26" r:id="rId29"/>
    <sheet state="visible" name="THÁNG 1024" sheetId="27" r:id="rId30"/>
    <sheet state="visible" name="THÁNG 1124" sheetId="28" r:id="rId31"/>
    <sheet state="visible" name="THÁNG 1224" sheetId="29" r:id="rId32"/>
    <sheet state="visible" name="THÁNG 125" sheetId="30" r:id="rId33"/>
    <sheet state="visible" name="THÁNG225" sheetId="31" r:id="rId34"/>
    <sheet state="visible" name="THÁNG325" sheetId="32" r:id="rId35"/>
    <sheet state="visible" name="THÁNG425" sheetId="33" r:id="rId36"/>
    <sheet state="visible" name="THÁNG525" sheetId="34" r:id="rId37"/>
    <sheet state="visible" name="THÁNG625" sheetId="35" r:id="rId38"/>
    <sheet state="visible" name="THÁNG725" sheetId="36" r:id="rId39"/>
    <sheet state="visible" name="THÁNG825" sheetId="37" r:id="rId40"/>
    <sheet state="visible" name="THÁNG925" sheetId="38" r:id="rId41"/>
    <sheet state="visible" name="THÁNG1025" sheetId="39" r:id="rId42"/>
    <sheet state="visible" name="THÁNG1125" sheetId="40" r:id="rId43"/>
    <sheet state="visible" name="THÁNG1225" sheetId="41" r:id="rId44"/>
    <sheet state="visible" name="THÁNG126" sheetId="42" r:id="rId45"/>
    <sheet state="visible" name="THÁNG 226" sheetId="43" r:id="rId46"/>
    <sheet state="visible" name="THÁNG326" sheetId="44" r:id="rId47"/>
    <sheet state="visible" name="THÁNG426" sheetId="45" r:id="rId48"/>
    <sheet state="visible" name="THÁNG526" sheetId="46" r:id="rId49"/>
    <sheet state="visible" name="THÁNG626" sheetId="47" r:id="rId50"/>
    <sheet state="visible" name="THÁNG727" sheetId="48" r:id="rId51"/>
    <sheet state="visible" name="NEW (10)" sheetId="49" r:id="rId52"/>
    <sheet state="hidden" name="Sheet1" sheetId="50" r:id="rId53"/>
  </sheets>
  <definedNames/>
  <calcPr/>
  <extLst>
    <ext uri="GoogleSheetsCustomDataVersion2">
      <go:sheetsCustomData xmlns:go="http://customooxmlschemas.google.com/" r:id="rId54" roundtripDataChecksum="0XGO6RjUqWWyzZIIWNMxJGDua50WpJJVC8VPeQwa5qM="/>
    </ext>
  </extLst>
</workbook>
</file>

<file path=xl/sharedStrings.xml><?xml version="1.0" encoding="utf-8"?>
<sst xmlns="http://schemas.openxmlformats.org/spreadsheetml/2006/main" count="2595" uniqueCount="739">
  <si>
    <t>DOANH THU ĐÈN BI THÁNG 11</t>
  </si>
  <si>
    <t>DOANH THU ĐÈN BI THÁNG 8</t>
  </si>
  <si>
    <t>STT</t>
  </si>
  <si>
    <t>NGÀY</t>
  </si>
  <si>
    <t>TÊN SẢN PHẨM</t>
  </si>
  <si>
    <t>TÊN KHÁCH HÀNG</t>
  </si>
  <si>
    <t>LOẠI XE</t>
  </si>
  <si>
    <t>SỐ LƯỢNG</t>
  </si>
  <si>
    <t>GIÁ NHẬP</t>
  </si>
  <si>
    <t>GIÁ BÁN</t>
  </si>
  <si>
    <t>LỢI NHUẬN</t>
  </si>
  <si>
    <t>TỔNG DOANH THU</t>
  </si>
  <si>
    <t>TỔNG LỢI NHUẬN</t>
  </si>
  <si>
    <t>DOANH THU RIÊNG</t>
  </si>
  <si>
    <t xml:space="preserve"> LỢI NHUẬN RIÊNG</t>
  </si>
  <si>
    <r>
      <rPr>
        <rFont val="Calibri"/>
        <b/>
        <color rgb="FF000000"/>
        <sz val="14.0"/>
      </rPr>
      <t xml:space="preserve">DOANH </t>
    </r>
    <r>
      <rPr>
        <rFont val="Calibri"/>
        <b/>
        <color rgb="FF000000"/>
        <sz val="14.0"/>
        <u/>
      </rPr>
      <t>THU RIÊNG</t>
    </r>
  </si>
  <si>
    <r>
      <rPr>
        <rFont val="Calibri"/>
        <b/>
        <color rgb="FF000000"/>
        <sz val="14.0"/>
      </rPr>
      <t xml:space="preserve">DOANH </t>
    </r>
    <r>
      <rPr>
        <rFont val="Calibri"/>
        <b/>
        <color rgb="FF000000"/>
        <sz val="14.0"/>
        <u/>
      </rPr>
      <t>THU RIÊNG</t>
    </r>
  </si>
  <si>
    <r>
      <rPr>
        <rFont val="Calibri"/>
        <color rgb="FF000000"/>
        <sz val="11.0"/>
      </rPr>
      <t xml:space="preserve">DOANH </t>
    </r>
    <r>
      <rPr>
        <rFont val="Calibri"/>
        <color rgb="FF000000"/>
        <sz val="11.0"/>
        <u/>
      </rPr>
      <t>THU RIÊNG</t>
    </r>
  </si>
  <si>
    <t>BI LED TITAN GOLD</t>
  </si>
  <si>
    <t>BI LED TITAN BLACK</t>
  </si>
  <si>
    <t>CHỊ NGÂN</t>
  </si>
  <si>
    <t>Nguyễn Phi Long</t>
  </si>
  <si>
    <t>accent</t>
  </si>
  <si>
    <t>I10</t>
  </si>
  <si>
    <t>X-LIGHT V20L</t>
  </si>
  <si>
    <t>ANH ĐÔ</t>
  </si>
  <si>
    <t>INNOVA 08</t>
  </si>
  <si>
    <t>ANH VĨNH</t>
  </si>
  <si>
    <t>ACCENT</t>
  </si>
  <si>
    <t>BI LED GẦM FUJITECH</t>
  </si>
  <si>
    <t>CHÚ HÀ</t>
  </si>
  <si>
    <t>XPANDER</t>
  </si>
  <si>
    <t>BI LED TITAN PLATINUM LS</t>
  </si>
  <si>
    <t>ANH HẬU</t>
  </si>
  <si>
    <t>K3 2022</t>
  </si>
  <si>
    <t>BI GẦM FUJITEK MẮT QUỶ</t>
  </si>
  <si>
    <t>ANH DUY</t>
  </si>
  <si>
    <t>X-PANDER 2020</t>
  </si>
  <si>
    <t>VÒNG ANGEL</t>
  </si>
  <si>
    <t>ANH LỢI</t>
  </si>
  <si>
    <t>BI GẦM X-LIGHT F10</t>
  </si>
  <si>
    <t>CHÚ HUY</t>
  </si>
  <si>
    <t>BI GẦM XLIGHT F10</t>
  </si>
  <si>
    <t>BI GẦM TIGER</t>
  </si>
  <si>
    <t>KIA K3</t>
  </si>
  <si>
    <t>X-LIGHT V30 ULTRA</t>
  </si>
  <si>
    <t>ANH HIẾU</t>
  </si>
  <si>
    <t>CAMRY</t>
  </si>
  <si>
    <t>ANH ĐÔNG LẠNH</t>
  </si>
  <si>
    <t>ELANTRA SPORT 17</t>
  </si>
  <si>
    <t>ANH GIANG</t>
  </si>
  <si>
    <t>BI LED XLIGHT V20L</t>
  </si>
  <si>
    <t>ANH BỒNG</t>
  </si>
  <si>
    <t>NISSAN NAVARA</t>
  </si>
  <si>
    <t>HINO 500</t>
  </si>
  <si>
    <t>FOGWAY GEN 5</t>
  </si>
  <si>
    <t>ANH PHI</t>
  </si>
  <si>
    <t>RANGER</t>
  </si>
  <si>
    <t>ANH HOÀNG</t>
  </si>
  <si>
    <t>ANH THÀNH</t>
  </si>
  <si>
    <t>X-PANDER 2022</t>
  </si>
  <si>
    <t>VIOS</t>
  </si>
  <si>
    <t>ANH DŨNG</t>
  </si>
  <si>
    <t>BI GẦM FUJITEK</t>
  </si>
  <si>
    <t>ANH TRƯỜNG</t>
  </si>
  <si>
    <t>ANH ANH</t>
  </si>
  <si>
    <t>ALTIS</t>
  </si>
  <si>
    <t>X-PANDER</t>
  </si>
  <si>
    <t>VÒNG BM</t>
  </si>
  <si>
    <t>ANH CHƯƠNG</t>
  </si>
  <si>
    <t>ALTIS 2003</t>
  </si>
  <si>
    <t>ANH THÁI</t>
  </si>
  <si>
    <t>ANH TOÀN</t>
  </si>
  <si>
    <t>ANH SƠN</t>
  </si>
  <si>
    <t>CHÚ HIỀN</t>
  </si>
  <si>
    <t>BI GẦM FOGWAY GEN 1</t>
  </si>
  <si>
    <t>ANH TƯỜNG</t>
  </si>
  <si>
    <t>ANH SANG</t>
  </si>
  <si>
    <t>ATTRAGE</t>
  </si>
  <si>
    <t>INOVA</t>
  </si>
  <si>
    <t>VELOK</t>
  </si>
  <si>
    <t>ANH KHANH</t>
  </si>
  <si>
    <t>BI GẦM F10</t>
  </si>
  <si>
    <t>ZINGER</t>
  </si>
  <si>
    <t>X-LIGHT V20 2023</t>
  </si>
  <si>
    <t xml:space="preserve">ANH ÚT </t>
  </si>
  <si>
    <t>TRAIBLAZER</t>
  </si>
  <si>
    <t>ANH PHƯƠNG</t>
  </si>
  <si>
    <t>ANH ÚT</t>
  </si>
  <si>
    <t>BLAZER</t>
  </si>
  <si>
    <t>TITAN BLACK</t>
  </si>
  <si>
    <t>ANH ĐẠT</t>
  </si>
  <si>
    <t>TRANSIT</t>
  </si>
  <si>
    <t>INNOVA</t>
  </si>
  <si>
    <t>NHÂN</t>
  </si>
  <si>
    <t>MAZDA 2</t>
  </si>
  <si>
    <t>ANH LÝ</t>
  </si>
  <si>
    <t>CERATO</t>
  </si>
  <si>
    <t>BI GẦM FUJITECK</t>
  </si>
  <si>
    <t>CHỊ MỸ</t>
  </si>
  <si>
    <t>ANH HUY</t>
  </si>
  <si>
    <t>CHỊ ÁNH</t>
  </si>
  <si>
    <t>RAIZE</t>
  </si>
  <si>
    <t>LED MÍ DẼO</t>
  </si>
  <si>
    <t>FOGWAY GEN 3</t>
  </si>
  <si>
    <t>ANH QUÍ</t>
  </si>
  <si>
    <t>MORNING</t>
  </si>
  <si>
    <t>CHÚ LÃM</t>
  </si>
  <si>
    <t>OCLANDO</t>
  </si>
  <si>
    <t>ANH TRỊ</t>
  </si>
  <si>
    <t>CÔ MỸ</t>
  </si>
  <si>
    <t>VIOS 13</t>
  </si>
  <si>
    <t>BA CỦI</t>
  </si>
  <si>
    <t>ANH VINH</t>
  </si>
  <si>
    <t>CAMRY 15</t>
  </si>
  <si>
    <t>BI GẦM FUJTEK MẮT QUỶ</t>
  </si>
  <si>
    <t>ANH CƯỜNG</t>
  </si>
  <si>
    <t>ANH DƯƠNG</t>
  </si>
  <si>
    <t>BI GẦM FUJITECK MINI</t>
  </si>
  <si>
    <t>CHÚ THÊM</t>
  </si>
  <si>
    <t>FORTUNER 22</t>
  </si>
  <si>
    <t>AN</t>
  </si>
  <si>
    <t>EXCITER</t>
  </si>
  <si>
    <t>GHI CHÚ:</t>
  </si>
  <si>
    <t>GHI CHÚ</t>
  </si>
  <si>
    <t>LED HẠT GTR</t>
  </si>
  <si>
    <t>BA VŨ</t>
  </si>
  <si>
    <t>BI LED FOGWAY GEN 9</t>
  </si>
  <si>
    <t>ANH TRÍ</t>
  </si>
  <si>
    <t>ANH TRẠNG</t>
  </si>
  <si>
    <t>SPECTRA</t>
  </si>
  <si>
    <t>RELAY 200K</t>
  </si>
  <si>
    <t>BI X-LIGHT V30 ULTRA</t>
  </si>
  <si>
    <t>CHÚ PHÁT</t>
  </si>
  <si>
    <t>FORTUNER</t>
  </si>
  <si>
    <t>CHÚ THÀNH</t>
  </si>
  <si>
    <t>TRAILBLAZER</t>
  </si>
  <si>
    <t>BI LED FOGWAY GEN 5</t>
  </si>
  <si>
    <t>ANH LÀNH</t>
  </si>
  <si>
    <t>JACK 50K</t>
  </si>
  <si>
    <t>ANH SÁNG</t>
  </si>
  <si>
    <t>ANH BĂNG</t>
  </si>
  <si>
    <t>BI LED FOGWAY GEN 3</t>
  </si>
  <si>
    <t>CFC 400K</t>
  </si>
  <si>
    <t>ANH VŨ</t>
  </si>
  <si>
    <t>BI X-LIGHT V20L</t>
  </si>
  <si>
    <t>ANH KIÊN</t>
  </si>
  <si>
    <t>CIVIC</t>
  </si>
  <si>
    <t>RELAY 400</t>
  </si>
  <si>
    <t>ANH TÍN</t>
  </si>
  <si>
    <t>SANTAFE</t>
  </si>
  <si>
    <t>KEO ĐÈN 300</t>
  </si>
  <si>
    <t>BI LED GTR ULTRA</t>
  </si>
  <si>
    <t>JACK NHỰT 50</t>
  </si>
  <si>
    <t>LED MÍ AOZOOM</t>
  </si>
  <si>
    <t>ANH NHÂN</t>
  </si>
  <si>
    <t>CITY</t>
  </si>
  <si>
    <t>DOANH THU ĐÈN BI THÁNG 1</t>
  </si>
  <si>
    <t>X-LIGHT F+ PRO</t>
  </si>
  <si>
    <t>CHÚ MỘT</t>
  </si>
  <si>
    <t>K3 FULL LED</t>
  </si>
  <si>
    <t>DOANH THU ĐÈN BI THÁNG 2</t>
  </si>
  <si>
    <t>MÍ LED DẺO AOZOOM</t>
  </si>
  <si>
    <t>X-LIGHT F10</t>
  </si>
  <si>
    <t>ANH KHÁNH</t>
  </si>
  <si>
    <t>ANH HÀ</t>
  </si>
  <si>
    <t>KIA SORENTO</t>
  </si>
  <si>
    <t>MÍ DẼO AOZOOM</t>
  </si>
  <si>
    <t>K3</t>
  </si>
  <si>
    <t>FOGWAY GEN 9</t>
  </si>
  <si>
    <t>CHỊ TUYỀN</t>
  </si>
  <si>
    <t>NAVARA</t>
  </si>
  <si>
    <t>FOGWAY GEN 1</t>
  </si>
  <si>
    <t>ANH NHỰT</t>
  </si>
  <si>
    <t>BRIO</t>
  </si>
  <si>
    <t>ANN TRÍ</t>
  </si>
  <si>
    <t>TITAN PLATINUM PLASER</t>
  </si>
  <si>
    <t>TRION 2022</t>
  </si>
  <si>
    <t>DOANH THU ĐÈN BI THÁNG 3</t>
  </si>
  <si>
    <t>DOANH THU ĐÈN BI THÁNG 4</t>
  </si>
  <si>
    <t>ANH NGUYÊN</t>
  </si>
  <si>
    <t>BI LED V30 ULTRA</t>
  </si>
  <si>
    <t>ANH THANH</t>
  </si>
  <si>
    <t>ANH THẠO</t>
  </si>
  <si>
    <t>BI TITAN BLACK</t>
  </si>
  <si>
    <t>SH Ý</t>
  </si>
  <si>
    <t>CHÚ HOẰN</t>
  </si>
  <si>
    <t>YARIS</t>
  </si>
  <si>
    <t>CÔNG TẮC RELAY MÍ 1000</t>
  </si>
  <si>
    <t>BI XLIGHT V30 ULTRA</t>
  </si>
  <si>
    <t>ANH TRUNG</t>
  </si>
  <si>
    <t>DMUX</t>
  </si>
  <si>
    <t>TITAN GOLD</t>
  </si>
  <si>
    <t>CHÚ LUÂN</t>
  </si>
  <si>
    <t>SOLUTO</t>
  </si>
  <si>
    <t>MI DẺO AOZOOM</t>
  </si>
  <si>
    <t>ANH GIẢNG</t>
  </si>
  <si>
    <t>BI XLIGHT V30L ULTRA</t>
  </si>
  <si>
    <t>BI LED PLATINUM</t>
  </si>
  <si>
    <t>ANH LUẬT</t>
  </si>
  <si>
    <t>BI TITAN PLATINUM LASER</t>
  </si>
  <si>
    <t>ELANTRA</t>
  </si>
  <si>
    <t>BI LED XLIGHT V20L 2023</t>
  </si>
  <si>
    <t>ANH KEN</t>
  </si>
  <si>
    <t>BI GẦM GTR G1</t>
  </si>
  <si>
    <t>BI LED TITAN BLACK 2.0</t>
  </si>
  <si>
    <t>ANH BẢO</t>
  </si>
  <si>
    <t>BÁN TẢI</t>
  </si>
  <si>
    <t>ANH HẢI</t>
  </si>
  <si>
    <t>ANH PHÁT</t>
  </si>
  <si>
    <t>DOANH THU ĐÈN BI THÁNG 5</t>
  </si>
  <si>
    <t>BI LED V30l ULTRA</t>
  </si>
  <si>
    <t>DOANH THU ĐÈN BI THÁNG 6</t>
  </si>
  <si>
    <t>DOANH THU ĐÈN BI THÁNG 7</t>
  </si>
  <si>
    <t>ANH HIỀN</t>
  </si>
  <si>
    <t>ANH KIỆT</t>
  </si>
  <si>
    <t>AVEO</t>
  </si>
  <si>
    <t xml:space="preserve">XPANDER </t>
  </si>
  <si>
    <t>BI GẦM 3 MÀU</t>
  </si>
  <si>
    <t>GTR G1 ULTRA</t>
  </si>
  <si>
    <t>ANH AN</t>
  </si>
  <si>
    <t>MAZDA 3</t>
  </si>
  <si>
    <t>ANH TRƯƠNG</t>
  </si>
  <si>
    <t>ANH NGHĨA</t>
  </si>
  <si>
    <t>XLIGHT F10</t>
  </si>
  <si>
    <t>XE TẢI</t>
  </si>
  <si>
    <t>CHÚ 9</t>
  </si>
  <si>
    <t>CẤP CỨU</t>
  </si>
  <si>
    <t>TITAN 301</t>
  </si>
  <si>
    <t>THẦY SANH</t>
  </si>
  <si>
    <t>ANH BIỆT</t>
  </si>
  <si>
    <t>SUZUKI</t>
  </si>
  <si>
    <t>ANH ĐỊNH</t>
  </si>
  <si>
    <t>XPNADER</t>
  </si>
  <si>
    <t>BI GẦM 301</t>
  </si>
  <si>
    <t>LED DẼO AOZOOM</t>
  </si>
  <si>
    <t>ANH KHIÊM</t>
  </si>
  <si>
    <t>TRAILASER</t>
  </si>
  <si>
    <t>X-LIGHT V20</t>
  </si>
  <si>
    <t>ANH KIÊM</t>
  </si>
  <si>
    <t>ANH NAM</t>
  </si>
  <si>
    <t>TRAILBLASER</t>
  </si>
  <si>
    <t>DƯƠNG</t>
  </si>
  <si>
    <t>V30 ULTRA</t>
  </si>
  <si>
    <t xml:space="preserve">ANH </t>
  </si>
  <si>
    <t>CERATO 19</t>
  </si>
  <si>
    <t>FUJITECH 2.0</t>
  </si>
  <si>
    <t>7/23/2023</t>
  </si>
  <si>
    <t>7/24/2023</t>
  </si>
  <si>
    <t>ANH</t>
  </si>
  <si>
    <t>CRV</t>
  </si>
  <si>
    <t>7/29/2023</t>
  </si>
  <si>
    <t>DYLAN</t>
  </si>
  <si>
    <t>X-Light F+ PRO</t>
  </si>
  <si>
    <t>CARNIVAL</t>
  </si>
  <si>
    <t>FOGWAY GEN1</t>
  </si>
  <si>
    <t>CHỊ DUNG</t>
  </si>
  <si>
    <t>CRETA</t>
  </si>
  <si>
    <t>X-Light F+ ULTRA</t>
  </si>
  <si>
    <t>ANH ĐĂNG</t>
  </si>
  <si>
    <t>MONDEO</t>
  </si>
  <si>
    <t>7/25/2023</t>
  </si>
  <si>
    <t>BI GẦM TIGER 3 MÀU</t>
  </si>
  <si>
    <t>DOANH THU ĐÈN BI THÁNG 9</t>
  </si>
  <si>
    <t>BI  FUJITEK 2 INCH</t>
  </si>
  <si>
    <t>ANH TÙNG</t>
  </si>
  <si>
    <t>FORD LASER</t>
  </si>
  <si>
    <t>ANH HỘI</t>
  </si>
  <si>
    <t>TITAN BLACK MINI</t>
  </si>
  <si>
    <t>OUTLANDER</t>
  </si>
  <si>
    <t>SCOOPY</t>
  </si>
  <si>
    <t>ANH MINH</t>
  </si>
  <si>
    <t>BI TITAN PLATINUM PLUS</t>
  </si>
  <si>
    <t>TITAN BLACK 2.0</t>
  </si>
  <si>
    <t>CHÚ LONG</t>
  </si>
  <si>
    <t>CHÚ THẮNG</t>
  </si>
  <si>
    <t>RIO</t>
  </si>
  <si>
    <t>MÍ LED AOZOOM</t>
  </si>
  <si>
    <t>SENA</t>
  </si>
  <si>
    <t>XLIGHT V30 ULTRA</t>
  </si>
  <si>
    <t>BI GẦM TITAN 301</t>
  </si>
  <si>
    <t>CHÚ 1</t>
  </si>
  <si>
    <t>FORD RANGER</t>
  </si>
  <si>
    <t>VELOZ</t>
  </si>
  <si>
    <t>XPANDER 2022</t>
  </si>
  <si>
    <t>DOANH THU ĐÈN BI THÁNG 10</t>
  </si>
  <si>
    <t>TITAN BLAC MINI</t>
  </si>
  <si>
    <t>MOTO 1800</t>
  </si>
  <si>
    <t>TITAN CB150HP</t>
  </si>
  <si>
    <t>ANH TRIỀU</t>
  </si>
  <si>
    <t>JOLY</t>
  </si>
  <si>
    <t>BI GẦM F10 2.0</t>
  </si>
  <si>
    <t>BI LED X-LIGHT V30 ULTRA</t>
  </si>
  <si>
    <t>BI LED CB150</t>
  </si>
  <si>
    <t>bi led titan black</t>
  </si>
  <si>
    <t>ANH THAI</t>
  </si>
  <si>
    <t>BI LED F+ PRO MINI</t>
  </si>
  <si>
    <t>ANH THỐNG</t>
  </si>
  <si>
    <t>VFE34</t>
  </si>
  <si>
    <t>ANH TÚ</t>
  </si>
  <si>
    <t>TRỢ SÁNG M10 ULTRA</t>
  </si>
  <si>
    <t>ELATRA</t>
  </si>
  <si>
    <t>CÔ THỦY</t>
  </si>
  <si>
    <t>ADCUDO</t>
  </si>
  <si>
    <t>HILANDER</t>
  </si>
  <si>
    <t>ANH TRẦM</t>
  </si>
  <si>
    <t>CB150</t>
  </si>
  <si>
    <t>TRAIBLAZE</t>
  </si>
  <si>
    <t>BI LED X-LIGHT V30L ULTRA</t>
  </si>
  <si>
    <t>MÍ AOZOOM</t>
  </si>
  <si>
    <t>ANH BÌNH</t>
  </si>
  <si>
    <t>EVEREST</t>
  </si>
  <si>
    <t>SH MODE</t>
  </si>
  <si>
    <t>CHÚ DŨNG</t>
  </si>
  <si>
    <t>BI LED GTR LIMITED 3.0</t>
  </si>
  <si>
    <t>VENZA</t>
  </si>
  <si>
    <t>CHÚ VŨ</t>
  </si>
  <si>
    <t>BI LED X-LIGHT V20</t>
  </si>
  <si>
    <t>ANH HÙNG</t>
  </si>
  <si>
    <t>AVANZA</t>
  </si>
  <si>
    <t>ANH TIẾN</t>
  </si>
  <si>
    <t>RAGER</t>
  </si>
  <si>
    <t>SH</t>
  </si>
  <si>
    <t>CHÚ PHONG</t>
  </si>
  <si>
    <t>M10</t>
  </si>
  <si>
    <t>TITAN PLATINUM</t>
  </si>
  <si>
    <t>ANH TRỌN</t>
  </si>
  <si>
    <t>FOGWAY GEN 6</t>
  </si>
  <si>
    <t>ANH PHÚ</t>
  </si>
  <si>
    <t>DOANH THU ĐÈN BI THÁNG 1/2024</t>
  </si>
  <si>
    <t>BI GẦM 3 MÀU LED PRO</t>
  </si>
  <si>
    <t>ANH ĐOÀN</t>
  </si>
  <si>
    <t>A HÒA</t>
  </si>
  <si>
    <t>X-LIGHT F10 MINI</t>
  </si>
  <si>
    <t>ANH TÝ</t>
  </si>
  <si>
    <t>MEC</t>
  </si>
  <si>
    <t>ANH CHICKEN BOY</t>
  </si>
  <si>
    <t>TITAN M10 ULTRA</t>
  </si>
  <si>
    <t>NIỀM</t>
  </si>
  <si>
    <t>Santafe</t>
  </si>
  <si>
    <t>CB150HP</t>
  </si>
  <si>
    <t>ANH LỘC</t>
  </si>
  <si>
    <t>ANH TÀI</t>
  </si>
  <si>
    <t>TITAN M20</t>
  </si>
  <si>
    <t xml:space="preserve">X-light F10 </t>
  </si>
  <si>
    <t>CHÚ ĐẤU</t>
  </si>
  <si>
    <t>ANH CẦU</t>
  </si>
  <si>
    <t>TRAILBLAZE</t>
  </si>
  <si>
    <t>ANH SICULA</t>
  </si>
  <si>
    <t>WIGO</t>
  </si>
  <si>
    <t>CHÚ NGHĨA</t>
  </si>
  <si>
    <t>STARGAZER</t>
  </si>
  <si>
    <t>SONET</t>
  </si>
  <si>
    <t>TITAN PLATINUM PRO</t>
  </si>
  <si>
    <t>ANH ĐỨC</t>
  </si>
  <si>
    <t>CRUZE</t>
  </si>
  <si>
    <t>LEDPRO A10</t>
  </si>
  <si>
    <t>ANH HÒA</t>
  </si>
  <si>
    <t>TITAN M10</t>
  </si>
  <si>
    <t>TITAN PLATINUM PLUS</t>
  </si>
  <si>
    <t>FORTNER</t>
  </si>
  <si>
    <t>THUẬN</t>
  </si>
  <si>
    <t>WINNER</t>
  </si>
  <si>
    <t>V20 BASE</t>
  </si>
  <si>
    <t>31/012024</t>
  </si>
  <si>
    <t>HUY</t>
  </si>
  <si>
    <t>SIRIUS</t>
  </si>
  <si>
    <t>ANH LỰC</t>
  </si>
  <si>
    <t>RONDO</t>
  </si>
  <si>
    <t>TITAN M20 ULTRA</t>
  </si>
  <si>
    <t>ANH TUẤN</t>
  </si>
  <si>
    <t>BRV</t>
  </si>
  <si>
    <t>ANH NGHỊ</t>
  </si>
  <si>
    <t>BẢO SỮA</t>
  </si>
  <si>
    <t>ANH HỌC</t>
  </si>
  <si>
    <t>ANH THỊNH</t>
  </si>
  <si>
    <t>RETA</t>
  </si>
  <si>
    <t>FOGWAY GEN9</t>
  </si>
  <si>
    <t>MÍ OUZOM</t>
  </si>
  <si>
    <t>F+ ULTRA</t>
  </si>
  <si>
    <t>TERRITORY</t>
  </si>
  <si>
    <t>X-LIGHT V30</t>
  </si>
  <si>
    <t>ANH TRÊN</t>
  </si>
  <si>
    <t>VĂN XUYÊN</t>
  </si>
  <si>
    <t>ERTIGA</t>
  </si>
  <si>
    <t>TITAN F150</t>
  </si>
  <si>
    <t>X-LIGHT F10 2.10</t>
  </si>
  <si>
    <t>ANH THÔNG</t>
  </si>
  <si>
    <t>X-LIGHT V30ULTRA</t>
  </si>
  <si>
    <t>F10 TURBO</t>
  </si>
  <si>
    <t>MÍ 7 MÀU</t>
  </si>
  <si>
    <t>F10 2.0</t>
  </si>
  <si>
    <t>F10</t>
  </si>
  <si>
    <t>CARENS</t>
  </si>
  <si>
    <t>TITAN CB150</t>
  </si>
  <si>
    <t>HỘP XINHAN</t>
  </si>
  <si>
    <t>ANH QUỐC</t>
  </si>
  <si>
    <t>CUSTIN</t>
  </si>
  <si>
    <t>TITAN PALTINUM PRO</t>
  </si>
  <si>
    <t>CHÚ HƯNG</t>
  </si>
  <si>
    <t>GTR 3.0</t>
  </si>
  <si>
    <t>ANH PHÚC</t>
  </si>
  <si>
    <t>GTR LIMITED 3.0</t>
  </si>
  <si>
    <t>KIA MORNING</t>
  </si>
  <si>
    <t>DOANH THU ĐÈN THÁNG 7/2024</t>
  </si>
  <si>
    <t>CHỊ THƠ</t>
  </si>
  <si>
    <t>ANH THIÊN</t>
  </si>
  <si>
    <t>DANH LƯỚI</t>
  </si>
  <si>
    <t>CRUSH</t>
  </si>
  <si>
    <t>G1 TURBO</t>
  </si>
  <si>
    <t>ANH HOÀI</t>
  </si>
  <si>
    <t xml:space="preserve"> RANGER</t>
  </si>
  <si>
    <t>ANH LINH</t>
  </si>
  <si>
    <t>HENVVEI GT 1</t>
  </si>
  <si>
    <t>BÁC THÀNH</t>
  </si>
  <si>
    <t>EGTIGA</t>
  </si>
  <si>
    <t>CHÚ HƯỞNG</t>
  </si>
  <si>
    <t>ANH HẢO</t>
  </si>
  <si>
    <t>X-LIGHT V20 BÁSE</t>
  </si>
  <si>
    <t>G1 TURO</t>
  </si>
  <si>
    <t>ANH QUYÊN</t>
  </si>
  <si>
    <t>ANH SỸ</t>
  </si>
  <si>
    <t>ANH NHI</t>
  </si>
  <si>
    <t xml:space="preserve">ELANTRA </t>
  </si>
  <si>
    <t>FUJITEK 2.0</t>
  </si>
  <si>
    <t>ANH QUANG</t>
  </si>
  <si>
    <t>M20 ULTRA</t>
  </si>
  <si>
    <t>CHÚ PHƯƠNG</t>
  </si>
  <si>
    <t>KIA CARREN</t>
  </si>
  <si>
    <t>S6 PRO</t>
  </si>
  <si>
    <t>CHÚ QUÂN</t>
  </si>
  <si>
    <t>ANH BI</t>
  </si>
  <si>
    <t>S9 PRO</t>
  </si>
  <si>
    <t>CHÚ MẪN</t>
  </si>
  <si>
    <t>PLATINUM PLUS</t>
  </si>
  <si>
    <t>ANH THỌ</t>
  </si>
  <si>
    <t>CB150 HP</t>
  </si>
  <si>
    <t>ANH LUÂN</t>
  </si>
  <si>
    <t>GTR G1 TURBO</t>
  </si>
  <si>
    <t>ANH TÒNG</t>
  </si>
  <si>
    <t>ANH LONG</t>
  </si>
  <si>
    <t>ANH THỨC</t>
  </si>
  <si>
    <t>ANH MỸ</t>
  </si>
  <si>
    <t>K250</t>
  </si>
  <si>
    <t xml:space="preserve">F10 2.0 </t>
  </si>
  <si>
    <t>ANH BƯỞI</t>
  </si>
  <si>
    <t>ANH KHOA</t>
  </si>
  <si>
    <t xml:space="preserve">ANH NGỌC </t>
  </si>
  <si>
    <t>ANH BÚP</t>
  </si>
  <si>
    <t xml:space="preserve">ANH PHỤNG </t>
  </si>
  <si>
    <t>258.90</t>
  </si>
  <si>
    <t>HENVVEI G1</t>
  </si>
  <si>
    <t>TRAIBLASER</t>
  </si>
  <si>
    <t>THẦY ĐỨC</t>
  </si>
  <si>
    <t>ANH PHONG</t>
  </si>
  <si>
    <t>MAZDA3</t>
  </si>
  <si>
    <t>HYUNDAI ACCENT</t>
  </si>
  <si>
    <t>THUẬN GOLD</t>
  </si>
  <si>
    <t>ACCNET</t>
  </si>
  <si>
    <t>HENVVEI L83 PRO</t>
  </si>
  <si>
    <t>ANH CHIẾN</t>
  </si>
  <si>
    <t>M20</t>
  </si>
  <si>
    <t>MAZDA2</t>
  </si>
  <si>
    <t>X-LIGHT 911</t>
  </si>
  <si>
    <t>ANH YÊN</t>
  </si>
  <si>
    <t>TIGER</t>
  </si>
  <si>
    <t>RAIZER</t>
  </si>
  <si>
    <t>DOANH THU ĐÈN THÁNG 09/2024</t>
  </si>
  <si>
    <t>FORTUER</t>
  </si>
  <si>
    <t>F10 2.0 TURBO</t>
  </si>
  <si>
    <t xml:space="preserve">ANH HIẾU </t>
  </si>
  <si>
    <t xml:space="preserve">ANH THÁI </t>
  </si>
  <si>
    <t>NAOEVO S6</t>
  </si>
  <si>
    <t>VF5</t>
  </si>
  <si>
    <t>BẢO C4C</t>
  </si>
  <si>
    <t>V20 SQUARE</t>
  </si>
  <si>
    <t>M20  ULTRA</t>
  </si>
  <si>
    <t>CÔ THUỶ</t>
  </si>
  <si>
    <t>F10 PRO</t>
  </si>
  <si>
    <t>ANH KHANG</t>
  </si>
  <si>
    <t>ANH THẮNG</t>
  </si>
  <si>
    <t>GTR LIMITED</t>
  </si>
  <si>
    <t>F10 22</t>
  </si>
  <si>
    <t>CHÚ TRÚC</t>
  </si>
  <si>
    <t>MAZDA 6</t>
  </si>
  <si>
    <t>DOANH THU ĐÈN THÁNG 10/2024</t>
  </si>
  <si>
    <t>hevvei l83 pro</t>
  </si>
  <si>
    <t>ANH TRÌNH</t>
  </si>
  <si>
    <t>NAOEVO S6 PRO</t>
  </si>
  <si>
    <t>CHÚ TÂM</t>
  </si>
  <si>
    <t>X-LIGHT F+ ULTRA</t>
  </si>
  <si>
    <t>XFORCE</t>
  </si>
  <si>
    <t>NAOEVO S9 PRO</t>
  </si>
  <si>
    <t>ANH  HOÀNG ANH</t>
  </si>
  <si>
    <t>XLIGHT F10 2.0</t>
  </si>
  <si>
    <t>ANH TỚI</t>
  </si>
  <si>
    <t>DOANH THU ĐÈN THÁNG 11/2024</t>
  </si>
  <si>
    <t>ECOSPORT</t>
  </si>
  <si>
    <t>ANH CHÂU</t>
  </si>
  <si>
    <t>SOLATI</t>
  </si>
  <si>
    <t>ALSTIL</t>
  </si>
  <si>
    <t>HENVVEI L83PRO</t>
  </si>
  <si>
    <t>F+ PRO</t>
  </si>
  <si>
    <t>VỊT QUAY</t>
  </si>
  <si>
    <t>SORẺNTO</t>
  </si>
  <si>
    <t>F150 SQUARE</t>
  </si>
  <si>
    <t>THỐNG</t>
  </si>
  <si>
    <t>ANH VIỆT</t>
  </si>
  <si>
    <t>CHỊ PHƯỢNG</t>
  </si>
  <si>
    <t>KONA</t>
  </si>
  <si>
    <t>MÍ</t>
  </si>
  <si>
    <t>TRÍ TAZU</t>
  </si>
  <si>
    <t>VF3</t>
  </si>
  <si>
    <t>TITAN F150 SQUARE</t>
  </si>
  <si>
    <t>NHƯ TÂY NINH</t>
  </si>
  <si>
    <t xml:space="preserve">ANH KHOA </t>
  </si>
  <si>
    <t>DOANH THU ĐÈN THÁNG 12/2024</t>
  </si>
  <si>
    <t>CHỊ THÚY</t>
  </si>
  <si>
    <t>ANH ĐẠO</t>
  </si>
  <si>
    <t>HILUX</t>
  </si>
  <si>
    <t>CHỊ AN</t>
  </si>
  <si>
    <t>ANH TÂM</t>
  </si>
  <si>
    <t>F10 2,0</t>
  </si>
  <si>
    <t>TRẦN HÀ GIANG</t>
  </si>
  <si>
    <t>YARIS CROSS</t>
  </si>
  <si>
    <t>FOGWAY GEN 7</t>
  </si>
  <si>
    <t>MÍ LED</t>
  </si>
  <si>
    <t>VIOS 19</t>
  </si>
  <si>
    <t>v12 hyper</t>
  </si>
  <si>
    <t>ANH HƯNG</t>
  </si>
  <si>
    <t>ANH THUẬN</t>
  </si>
  <si>
    <t>V12 HYPER</t>
  </si>
  <si>
    <t>CUIZE</t>
  </si>
  <si>
    <t>CHÚ ĐỊNH</t>
  </si>
  <si>
    <t>VF6S</t>
  </si>
  <si>
    <t>ANH KHUÊ</t>
  </si>
  <si>
    <t>DOANH THU ĐÈN THÁNG03/2025</t>
  </si>
  <si>
    <t>ANH ĐẬM</t>
  </si>
  <si>
    <t>63A197,91</t>
  </si>
  <si>
    <t>M10 ULTRA</t>
  </si>
  <si>
    <t>ANH NHÃ</t>
  </si>
  <si>
    <t>ANH NGỰ</t>
  </si>
  <si>
    <t>HIACE</t>
  </si>
  <si>
    <t>GRANDIS</t>
  </si>
  <si>
    <t>CHỊ TRÚC</t>
  </si>
  <si>
    <t>ANH TRỰC</t>
  </si>
  <si>
    <t>MI LED AOZOOM</t>
  </si>
  <si>
    <t>ANH TRONG</t>
  </si>
  <si>
    <t>SƯ CÔ</t>
  </si>
  <si>
    <t>CROSS</t>
  </si>
  <si>
    <t xml:space="preserve">FORTUNER </t>
  </si>
  <si>
    <t>CRUIZE</t>
  </si>
  <si>
    <t>CHÚ VIỆT</t>
  </si>
  <si>
    <t>RELAY CÔNG TẮC</t>
  </si>
  <si>
    <t>MG5</t>
  </si>
  <si>
    <t>HINO</t>
  </si>
  <si>
    <t>NHÔN LẦN</t>
  </si>
  <si>
    <t>6/4//25</t>
  </si>
  <si>
    <t>MG 5</t>
  </si>
  <si>
    <t>X-LIGHT</t>
  </si>
  <si>
    <t>DOANH THU ĐÈN THÁNG 04/2025</t>
  </si>
  <si>
    <t>LED AOZOM 65W</t>
  </si>
  <si>
    <t>324.60</t>
  </si>
  <si>
    <t>DOANH THU ĐÈN THÁNG 05/2025</t>
  </si>
  <si>
    <t>ANH KHÔI</t>
  </si>
  <si>
    <t>X-LIGHT V20 BASE</t>
  </si>
  <si>
    <t>233.70</t>
  </si>
  <si>
    <t>054.30</t>
  </si>
  <si>
    <t>NAOEVO S6 H4</t>
  </si>
  <si>
    <t>ANH LÂM</t>
  </si>
  <si>
    <t>ANH TRÍ ĐB</t>
  </si>
  <si>
    <t>VENEU</t>
  </si>
  <si>
    <t>DOANH THU ĐÈN THÁNG 06/2025</t>
  </si>
  <si>
    <t>ANH QUÝ</t>
  </si>
  <si>
    <t>XL7</t>
  </si>
  <si>
    <t>X-LIGHT V12</t>
  </si>
  <si>
    <t>ANH THẠNH</t>
  </si>
  <si>
    <t>THACO</t>
  </si>
  <si>
    <t>51H28350</t>
  </si>
  <si>
    <t>ANH TRỌNG</t>
  </si>
  <si>
    <t>ANH KHA</t>
  </si>
  <si>
    <t>ANH KHUYÊN</t>
  </si>
  <si>
    <t>STRAGAZER</t>
  </si>
  <si>
    <t>71A069.50</t>
  </si>
  <si>
    <t>DOANH THU ĐÈN THÁNG 07/2025</t>
  </si>
  <si>
    <t>M30ULTRA</t>
  </si>
  <si>
    <t>CHÚ HÒA</t>
  </si>
  <si>
    <t xml:space="preserve">CAMRY </t>
  </si>
  <si>
    <t xml:space="preserve">CHỊ THẢO </t>
  </si>
  <si>
    <t>ANH ĐỒNG</t>
  </si>
  <si>
    <t>F10 NEW</t>
  </si>
  <si>
    <t>NAOEVO S8</t>
  </si>
  <si>
    <t>720.62</t>
  </si>
  <si>
    <t>M30 ULTRA</t>
  </si>
  <si>
    <t>CHƯA BIỂN SỐ</t>
  </si>
  <si>
    <t>VF3 MÀU XANH</t>
  </si>
  <si>
    <t>F150 PRO</t>
  </si>
  <si>
    <t>ANH TẤN</t>
  </si>
  <si>
    <t>f10 2.0 HYPER</t>
  </si>
  <si>
    <t>186.91</t>
  </si>
  <si>
    <t>DOANH THU ĐÈN THÁNG 08/2025</t>
  </si>
  <si>
    <t>DOANH THU ĐÈN THÁNG /2025</t>
  </si>
  <si>
    <t>DOANH THU ĐÈN THÁNG 10/2025</t>
  </si>
  <si>
    <t>ANH PHÀ</t>
  </si>
  <si>
    <t>FIESTA</t>
  </si>
  <si>
    <t>F10 HYPER</t>
  </si>
  <si>
    <t>ANH NGÂN</t>
  </si>
  <si>
    <t>F10 2.0 HYPER</t>
  </si>
  <si>
    <t>BULBTEK H7</t>
  </si>
  <si>
    <t>X3 ULTRA</t>
  </si>
  <si>
    <t>S8 PRO</t>
  </si>
  <si>
    <t xml:space="preserve">F10 HYPER </t>
  </si>
  <si>
    <t>ANH NHA</t>
  </si>
  <si>
    <t>ANH TY</t>
  </si>
  <si>
    <t>X-LIGHT F10 PRO</t>
  </si>
  <si>
    <t>ANH CHÍ</t>
  </si>
  <si>
    <t xml:space="preserve">MÍ </t>
  </si>
  <si>
    <t>CAREN</t>
  </si>
  <si>
    <t>BULTEK H4</t>
  </si>
  <si>
    <t>XPANER</t>
  </si>
  <si>
    <t>CHỊ HIỀN</t>
  </si>
  <si>
    <t>ANH TIỀN</t>
  </si>
  <si>
    <t>TRITON</t>
  </si>
  <si>
    <t>XPADER</t>
  </si>
  <si>
    <t>CX5</t>
  </si>
  <si>
    <t>F1 GT</t>
  </si>
  <si>
    <t>THANH TƠI</t>
  </si>
  <si>
    <t>FU LED</t>
  </si>
  <si>
    <t>1 CÁI</t>
  </si>
  <si>
    <t>NAOEVO S8 PRO</t>
  </si>
  <si>
    <t xml:space="preserve">CHỊ LINH </t>
  </si>
  <si>
    <t>TITAN F150 PRO</t>
  </si>
  <si>
    <t>BULTEK H7</t>
  </si>
  <si>
    <t xml:space="preserve"> </t>
  </si>
  <si>
    <t>CHÚ HIỆP</t>
  </si>
  <si>
    <t>SORENTO</t>
  </si>
  <si>
    <t xml:space="preserve">ANH TRƯỜNG </t>
  </si>
  <si>
    <t>DOANH THU ĐÈN THÁNG 11/2025</t>
  </si>
  <si>
    <t>f10 new</t>
  </si>
  <si>
    <t>F10 2.0 BA MÀU</t>
  </si>
  <si>
    <t>66A47999</t>
  </si>
  <si>
    <t>CAMMRY</t>
  </si>
  <si>
    <t>ANH ĐÔNG</t>
  </si>
  <si>
    <t>XE MỚI</t>
  </si>
  <si>
    <t>NAOEO S6</t>
  </si>
  <si>
    <t>ANH NHÀN</t>
  </si>
  <si>
    <t>F1 TURBO S</t>
  </si>
  <si>
    <t>DOANH THU ĐÈN THÁNG 12/2025</t>
  </si>
  <si>
    <t>DOANH THU ĐÈN THÁNG1/2025</t>
  </si>
  <si>
    <t>ANH DANH</t>
  </si>
  <si>
    <t>M45 HYPER</t>
  </si>
  <si>
    <t>THÀNH CHƠN</t>
  </si>
  <si>
    <t>ARI BLADE</t>
  </si>
  <si>
    <t>naoevo s9</t>
  </si>
  <si>
    <t>anh chí</t>
  </si>
  <si>
    <t>fortuner</t>
  </si>
  <si>
    <t xml:space="preserve">ANH THÔNG </t>
  </si>
  <si>
    <t>TERITORY</t>
  </si>
  <si>
    <t>NAOEVO S3</t>
  </si>
  <si>
    <t xml:space="preserve">EVEREST </t>
  </si>
  <si>
    <t>V20 BASES 25</t>
  </si>
  <si>
    <t xml:space="preserve">ANH AN </t>
  </si>
  <si>
    <t>M30</t>
  </si>
  <si>
    <t>GRANDIT</t>
  </si>
  <si>
    <t>NAOEVO S6, S3</t>
  </si>
  <si>
    <t>ANH VĂN</t>
  </si>
  <si>
    <t>ATTRAGAZE</t>
  </si>
  <si>
    <t>CHÚ 7</t>
  </si>
  <si>
    <t>M2 PRO</t>
  </si>
  <si>
    <t>NMAX</t>
  </si>
  <si>
    <t>M30 ULTRA V2</t>
  </si>
  <si>
    <t>CX8</t>
  </si>
  <si>
    <t>ANH TIÊN</t>
  </si>
  <si>
    <t>CHÚ HẢI</t>
  </si>
  <si>
    <t>F10 2,0 NEW</t>
  </si>
  <si>
    <t>ANH QUÂN</t>
  </si>
  <si>
    <t>X-LIGHT S6 PRO</t>
  </si>
  <si>
    <t>ISUZU</t>
  </si>
  <si>
    <t>X-LIGHT S3 PRO</t>
  </si>
  <si>
    <t>CYBER 2</t>
  </si>
  <si>
    <t>NAOEVO S3 PRO</t>
  </si>
  <si>
    <t xml:space="preserve">ANH TUẤN </t>
  </si>
  <si>
    <t>X-LIGHT F10 HYPER</t>
  </si>
  <si>
    <t>EM ĐẠT</t>
  </si>
  <si>
    <t>TITAN M30 ULTRA</t>
  </si>
  <si>
    <t>KIM HỒNG</t>
  </si>
  <si>
    <t>TITAN F10 2.0 NEW</t>
  </si>
  <si>
    <t>CHÚ ĐỨC</t>
  </si>
  <si>
    <t>F10 PRO V2</t>
  </si>
  <si>
    <t>XE CÔNG AN</t>
  </si>
  <si>
    <t>F10 2,0 HYPER</t>
  </si>
  <si>
    <t>NAOEVO S9</t>
  </si>
  <si>
    <t>096.54</t>
  </si>
  <si>
    <t>ANH QUÂN ĐỘI</t>
  </si>
  <si>
    <t xml:space="preserve"> F10 TURBO</t>
  </si>
  <si>
    <t>MG</t>
  </si>
  <si>
    <t>CHỊ DIỄM</t>
  </si>
  <si>
    <t>482.32</t>
  </si>
  <si>
    <t>ECVAN</t>
  </si>
  <si>
    <t>XFOCE</t>
  </si>
  <si>
    <t xml:space="preserve">ANH HÙNG </t>
  </si>
  <si>
    <t>LUX SA</t>
  </si>
  <si>
    <t>DOANH THU ĐÈN THÁNG6/2025</t>
  </si>
  <si>
    <t>TỐ ANH</t>
  </si>
  <si>
    <t>51G684,47</t>
  </si>
  <si>
    <t>QUỐC KHÁNH</t>
  </si>
  <si>
    <t>XLIGHT S6</t>
  </si>
  <si>
    <t>QUỐC DÂN</t>
  </si>
  <si>
    <t>S6</t>
  </si>
  <si>
    <t>DISTERNITOR</t>
  </si>
  <si>
    <t>CHÚ THẢO</t>
  </si>
  <si>
    <t>LIMOGREEN</t>
  </si>
  <si>
    <t>M40</t>
  </si>
  <si>
    <t>DTS</t>
  </si>
  <si>
    <t>ANH TRIỆU</t>
  </si>
  <si>
    <t>LUX A</t>
  </si>
  <si>
    <t>VANEC</t>
  </si>
  <si>
    <t>XLIGHT 301</t>
  </si>
  <si>
    <t>FORD 16+</t>
  </si>
  <si>
    <t>VF6</t>
  </si>
  <si>
    <t>HOÀI ĐỨC</t>
  </si>
  <si>
    <t>MUA VỀ</t>
  </si>
  <si>
    <t>DESTINATOR</t>
  </si>
  <si>
    <t>M40 ULTRA V2</t>
  </si>
  <si>
    <t>ANH LIÊM</t>
  </si>
  <si>
    <t>ACEENT</t>
  </si>
  <si>
    <t>S3</t>
  </si>
  <si>
    <t>PHƯƠNG THANH</t>
  </si>
  <si>
    <t>ANH PHÚ VF5</t>
  </si>
  <si>
    <t>S6 H4</t>
  </si>
  <si>
    <t>MPV7</t>
  </si>
  <si>
    <t>HỮU PHƯỚC</t>
  </si>
  <si>
    <t>DOANH THU ĐÈN THÁNG7/2026</t>
  </si>
  <si>
    <t>ANH KHUYẾN</t>
  </si>
  <si>
    <t>EVERETS</t>
  </si>
  <si>
    <t>XE ĐI XÉT</t>
  </si>
  <si>
    <t>F10 HEYPER</t>
  </si>
  <si>
    <t>KIM THOA</t>
  </si>
  <si>
    <t>F10 NEW 2,0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</si>
</sst>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000"/>
    <numFmt numFmtId="165" formatCode="_(* #,##0.000_);_(* \(#,##0.000\);_(* \-???_);_(@_)"/>
    <numFmt numFmtId="166" formatCode="0&quot; CÁI&quot;"/>
    <numFmt numFmtId="167" formatCode="d/m/yyyy"/>
    <numFmt numFmtId="168" formatCode="#,##0.000_);\(#,##0.000\)"/>
    <numFmt numFmtId="169" formatCode="d/m"/>
    <numFmt numFmtId="170" formatCode="#,##0.000\ _₫"/>
    <numFmt numFmtId="171" formatCode="d/m/yy"/>
    <numFmt numFmtId="172" formatCode="#,##0.000\ [$VND]"/>
    <numFmt numFmtId="173" formatCode="0&quot; BỘ&quot;"/>
  </numFmts>
  <fonts count="15">
    <font>
      <sz val="11.0"/>
      <color rgb="FF000000"/>
      <name val="Calibri"/>
      <scheme val="minor"/>
    </font>
    <font>
      <b/>
      <sz val="36.0"/>
      <color rgb="FF000000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b/>
      <sz val="16.0"/>
      <color rgb="FF000000"/>
      <name val="Calibri"/>
    </font>
    <font>
      <sz val="16.0"/>
      <color rgb="FF006100"/>
      <name val="Calibri"/>
    </font>
    <font>
      <sz val="16.0"/>
      <color rgb="FF000000"/>
      <name val="Calibri"/>
    </font>
    <font>
      <sz val="11.0"/>
      <color theme="1"/>
      <name val="Calibri"/>
    </font>
    <font>
      <sz val="14.0"/>
      <color theme="1"/>
      <name val="Calibri"/>
    </font>
    <font>
      <sz val="16.0"/>
      <color theme="1"/>
      <name val="Calibri"/>
    </font>
    <font>
      <b/>
      <sz val="22.0"/>
      <color rgb="FF000000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358791"/>
        <bgColor rgb="FF358791"/>
      </patternFill>
    </fill>
    <fill>
      <patternFill patternType="solid">
        <fgColor rgb="FF00B050"/>
        <bgColor rgb="FF00B050"/>
      </patternFill>
    </fill>
    <fill>
      <patternFill patternType="solid">
        <fgColor rgb="FFD6CCCC"/>
        <bgColor rgb="FFD6CCCC"/>
      </patternFill>
    </fill>
    <fill>
      <patternFill patternType="solid">
        <fgColor rgb="FFBFCCEE"/>
        <bgColor rgb="FFBFCCEE"/>
      </patternFill>
    </fill>
    <fill>
      <patternFill patternType="solid">
        <fgColor rgb="FFA0B3E6"/>
        <bgColor rgb="FFA0B3E6"/>
      </patternFill>
    </fill>
    <fill>
      <patternFill patternType="solid">
        <fgColor rgb="FFFFB588"/>
        <bgColor rgb="FFFFB588"/>
      </patternFill>
    </fill>
    <fill>
      <patternFill patternType="solid">
        <fgColor rgb="FFEBDEF1"/>
        <bgColor rgb="FFEBDEF1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</fills>
  <borders count="29">
    <border/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left/>
      <bottom/>
    </border>
    <border>
      <bottom/>
    </border>
    <border>
      <right/>
      <bottom style="thin">
        <color rgb="FF000000"/>
      </bottom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/>
      <top style="thin">
        <color rgb="FF000000"/>
      </top>
    </border>
    <border>
      <left style="thin">
        <color rgb="FF000000"/>
      </left>
      <bottom/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1" fillId="3" fontId="5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horizontal="left" vertical="center"/>
    </xf>
    <xf borderId="10" fillId="4" fontId="4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vertical="center"/>
    </xf>
    <xf borderId="10" fillId="0" fontId="3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12" fillId="0" fontId="5" numFmtId="164" xfId="0" applyAlignment="1" applyBorder="1" applyFont="1" applyNumberFormat="1">
      <alignment horizontal="center" vertical="center"/>
    </xf>
    <xf borderId="10" fillId="0" fontId="3" numFmtId="165" xfId="0" applyAlignment="1" applyBorder="1" applyFont="1" applyNumberFormat="1">
      <alignment horizontal="center" vertical="center"/>
    </xf>
    <xf borderId="10" fillId="0" fontId="4" numFmtId="164" xfId="0" applyAlignment="1" applyBorder="1" applyFont="1" applyNumberFormat="1">
      <alignment horizontal="center" vertical="center"/>
    </xf>
    <xf borderId="10" fillId="0" fontId="3" numFmtId="164" xfId="0" applyAlignment="1" applyBorder="1" applyFont="1" applyNumberFormat="1">
      <alignment horizontal="center" vertical="center"/>
    </xf>
    <xf borderId="10" fillId="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0" fontId="4" numFmtId="14" xfId="0" applyAlignment="1" applyBorder="1" applyFont="1" applyNumberFormat="1">
      <alignment horizontal="center" vertical="center"/>
    </xf>
    <xf borderId="10" fillId="0" fontId="3" numFmtId="14" xfId="0" applyAlignment="1" applyBorder="1" applyFont="1" applyNumberFormat="1">
      <alignment vertical="center"/>
    </xf>
    <xf borderId="10" fillId="0" fontId="4" numFmtId="0" xfId="0" applyAlignment="1" applyBorder="1" applyFont="1">
      <alignment vertical="center"/>
    </xf>
    <xf borderId="10" fillId="0" fontId="6" numFmtId="14" xfId="0" applyAlignment="1" applyBorder="1" applyFont="1" applyNumberFormat="1">
      <alignment horizontal="left" vertical="center"/>
    </xf>
    <xf borderId="10" fillId="0" fontId="6" numFmtId="0" xfId="0" applyAlignment="1" applyBorder="1" applyFont="1">
      <alignment vertical="center"/>
    </xf>
    <xf borderId="10" fillId="0" fontId="6" numFmtId="166" xfId="0" applyAlignment="1" applyBorder="1" applyFont="1" applyNumberFormat="1">
      <alignment horizontal="center" vertical="center"/>
    </xf>
    <xf borderId="10" fillId="0" fontId="6" numFmtId="164" xfId="0" applyAlignment="1" applyBorder="1" applyFont="1" applyNumberFormat="1">
      <alignment horizontal="center" vertical="center"/>
    </xf>
    <xf borderId="12" fillId="0" fontId="7" numFmtId="164" xfId="0" applyAlignment="1" applyBorder="1" applyFont="1" applyNumberFormat="1">
      <alignment horizontal="center" vertical="center"/>
    </xf>
    <xf borderId="13" fillId="5" fontId="5" numFmtId="164" xfId="0" applyAlignment="1" applyBorder="1" applyFill="1" applyFont="1" applyNumberFormat="1">
      <alignment horizontal="center" vertical="center"/>
    </xf>
    <xf borderId="14" fillId="0" fontId="3" numFmtId="0" xfId="0" applyAlignment="1" applyBorder="1" applyFont="1">
      <alignment horizontal="center" vertical="center"/>
    </xf>
    <xf borderId="12" fillId="6" fontId="7" numFmtId="164" xfId="0" applyAlignment="1" applyBorder="1" applyFill="1" applyFont="1" applyNumberFormat="1">
      <alignment horizontal="center" vertical="center"/>
    </xf>
    <xf borderId="15" fillId="0" fontId="2" numFmtId="0" xfId="0" applyBorder="1" applyFont="1"/>
    <xf borderId="12" fillId="7" fontId="7" numFmtId="164" xfId="0" applyAlignment="1" applyBorder="1" applyFill="1" applyFont="1" applyNumberFormat="1">
      <alignment horizontal="center" vertical="center"/>
    </xf>
    <xf borderId="16" fillId="0" fontId="3" numFmtId="0" xfId="0" applyAlignment="1" applyBorder="1" applyFont="1">
      <alignment horizontal="center" vertical="center"/>
    </xf>
    <xf borderId="12" fillId="8" fontId="7" numFmtId="164" xfId="0" applyAlignment="1" applyBorder="1" applyFill="1" applyFont="1" applyNumberFormat="1">
      <alignment horizontal="center" vertical="center"/>
    </xf>
    <xf borderId="12" fillId="0" fontId="3" numFmtId="14" xfId="0" applyAlignment="1" applyBorder="1" applyFont="1" applyNumberFormat="1">
      <alignment vertical="center"/>
    </xf>
    <xf borderId="12" fillId="0" fontId="3" numFmtId="0" xfId="0" applyAlignment="1" applyBorder="1" applyFont="1">
      <alignment horizontal="left" vertical="center"/>
    </xf>
    <xf borderId="17" fillId="0" fontId="2" numFmtId="0" xfId="0" applyBorder="1" applyFont="1"/>
    <xf borderId="10" fillId="9" fontId="8" numFmtId="0" xfId="0" applyAlignment="1" applyBorder="1" applyFill="1" applyFont="1">
      <alignment vertic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12" fillId="0" fontId="4" numFmtId="0" xfId="0" applyAlignment="1" applyBorder="1" applyFont="1">
      <alignment horizontal="center" vertical="center"/>
    </xf>
    <xf borderId="10" fillId="0" fontId="3" numFmtId="165" xfId="0" applyAlignment="1" applyBorder="1" applyFont="1" applyNumberFormat="1">
      <alignment vertical="center"/>
    </xf>
    <xf borderId="12" fillId="0" fontId="4" numFmtId="14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left" vertical="center"/>
    </xf>
    <xf borderId="12" fillId="0" fontId="3" numFmtId="0" xfId="0" applyAlignment="1" applyBorder="1" applyFont="1">
      <alignment vertical="center"/>
    </xf>
    <xf borderId="12" fillId="0" fontId="3" numFmtId="0" xfId="0" applyAlignment="1" applyBorder="1" applyFont="1">
      <alignment horizontal="center" vertical="center"/>
    </xf>
    <xf borderId="12" fillId="0" fontId="3" numFmtId="165" xfId="0" applyAlignment="1" applyBorder="1" applyFont="1" applyNumberFormat="1">
      <alignment horizontal="center" vertical="center"/>
    </xf>
    <xf borderId="12" fillId="0" fontId="3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10" fillId="0" fontId="6" numFmtId="167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165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0" fillId="0" fontId="5" numFmtId="164" xfId="0" applyAlignment="1" applyBorder="1" applyFont="1" applyNumberFormat="1">
      <alignment vertical="center"/>
    </xf>
    <xf borderId="10" fillId="0" fontId="7" numFmtId="164" xfId="0" applyAlignment="1" applyBorder="1" applyFont="1" applyNumberFormat="1">
      <alignment vertical="center"/>
    </xf>
    <xf borderId="12" fillId="0" fontId="6" numFmtId="14" xfId="0" applyAlignment="1" applyBorder="1" applyFont="1" applyNumberFormat="1">
      <alignment horizontal="left" vertical="center"/>
    </xf>
    <xf borderId="12" fillId="0" fontId="6" numFmtId="0" xfId="0" applyAlignment="1" applyBorder="1" applyFont="1">
      <alignment vertical="center"/>
    </xf>
    <xf borderId="0" fillId="0" fontId="4" numFmtId="165" xfId="0" applyAlignment="1" applyFont="1" applyNumberFormat="1">
      <alignment vertical="center"/>
    </xf>
    <xf borderId="12" fillId="0" fontId="6" numFmtId="0" xfId="0" applyAlignment="1" applyBorder="1" applyFont="1">
      <alignment horizontal="left" vertical="center"/>
    </xf>
    <xf borderId="10" fillId="0" fontId="6" numFmtId="165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left" vertical="center"/>
    </xf>
    <xf borderId="10" fillId="0" fontId="6" numFmtId="168" xfId="0" applyAlignment="1" applyBorder="1" applyFont="1" applyNumberFormat="1">
      <alignment horizontal="center" vertical="center"/>
    </xf>
    <xf borderId="21" fillId="0" fontId="2" numFmtId="0" xfId="0" applyBorder="1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6" numFmtId="166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5" fillId="0" fontId="6" numFmtId="166" xfId="0" applyAlignment="1" applyBorder="1" applyFont="1" applyNumberFormat="1">
      <alignment horizontal="center" vertical="center"/>
    </xf>
    <xf borderId="12" fillId="0" fontId="7" numFmtId="0" xfId="0" applyAlignment="1" applyBorder="1" applyFont="1">
      <alignment horizontal="center" vertical="center"/>
    </xf>
    <xf borderId="22" fillId="0" fontId="6" numFmtId="14" xfId="0" applyAlignment="1" applyBorder="1" applyFont="1" applyNumberFormat="1">
      <alignment horizontal="left" vertical="center"/>
    </xf>
    <xf borderId="10" fillId="0" fontId="9" numFmtId="0" xfId="0" applyBorder="1" applyFont="1"/>
    <xf borderId="14" fillId="0" fontId="6" numFmtId="0" xfId="0" applyAlignment="1" applyBorder="1" applyFont="1">
      <alignment vertical="center"/>
    </xf>
    <xf borderId="22" fillId="0" fontId="6" numFmtId="167" xfId="0" applyAlignment="1" applyBorder="1" applyFont="1" applyNumberFormat="1">
      <alignment horizontal="left" vertical="center"/>
    </xf>
    <xf borderId="0" fillId="0" fontId="10" numFmtId="0" xfId="0" applyAlignment="1" applyFont="1">
      <alignment vertical="center"/>
    </xf>
    <xf borderId="14" fillId="0" fontId="6" numFmtId="0" xfId="0" applyAlignment="1" applyBorder="1" applyFont="1">
      <alignment horizontal="left" vertical="center"/>
    </xf>
    <xf borderId="19" fillId="0" fontId="9" numFmtId="0" xfId="0" applyAlignment="1" applyBorder="1" applyFont="1">
      <alignment vertical="center"/>
    </xf>
    <xf borderId="10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9" fillId="0" fontId="11" numFmtId="14" xfId="0" applyAlignment="1" applyBorder="1" applyFont="1" applyNumberFormat="1">
      <alignment horizontal="left" vertical="center"/>
    </xf>
    <xf borderId="19" fillId="0" fontId="11" numFmtId="0" xfId="0" applyAlignment="1" applyBorder="1" applyFont="1">
      <alignment vertical="center"/>
    </xf>
    <xf borderId="12" fillId="0" fontId="6" numFmtId="14" xfId="0" applyAlignment="1" applyBorder="1" applyFont="1" applyNumberFormat="1">
      <alignment vertical="center"/>
    </xf>
    <xf borderId="19" fillId="0" fontId="10" numFmtId="0" xfId="0" applyAlignment="1" applyBorder="1" applyFont="1">
      <alignment vertical="center"/>
    </xf>
    <xf borderId="23" fillId="2" fontId="1" numFmtId="0" xfId="0" applyAlignment="1" applyBorder="1" applyFont="1">
      <alignment horizontal="center" vertical="center"/>
    </xf>
    <xf borderId="24" fillId="0" fontId="2" numFmtId="0" xfId="0" applyBorder="1" applyFont="1"/>
    <xf borderId="16" fillId="0" fontId="2" numFmtId="0" xfId="0" applyBorder="1" applyFont="1"/>
    <xf borderId="25" fillId="0" fontId="2" numFmtId="0" xfId="0" applyBorder="1" applyFont="1"/>
    <xf borderId="10" fillId="3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left" vertical="center"/>
    </xf>
    <xf borderId="10" fillId="0" fontId="7" numFmtId="0" xfId="0" applyAlignment="1" applyBorder="1" applyFont="1">
      <alignment horizontal="center" vertical="center"/>
    </xf>
    <xf borderId="10" fillId="0" fontId="5" numFmtId="0" xfId="0" applyAlignment="1" applyBorder="1" applyFont="1">
      <alignment vertical="center"/>
    </xf>
    <xf borderId="10" fillId="10" fontId="5" numFmtId="0" xfId="0" applyAlignment="1" applyBorder="1" applyFill="1" applyFont="1">
      <alignment horizontal="center" vertical="center"/>
    </xf>
    <xf borderId="10" fillId="0" fontId="5" numFmtId="164" xfId="0" applyAlignment="1" applyBorder="1" applyFont="1" applyNumberFormat="1">
      <alignment horizontal="center" vertical="center"/>
    </xf>
    <xf borderId="12" fillId="0" fontId="6" numFmtId="14" xfId="0" applyAlignment="1" applyBorder="1" applyFont="1" applyNumberFormat="1">
      <alignment horizontal="left" vertical="top"/>
    </xf>
    <xf borderId="19" fillId="0" fontId="10" numFmtId="14" xfId="0" applyAlignment="1" applyBorder="1" applyFont="1" applyNumberFormat="1">
      <alignment horizontal="left" vertical="center"/>
    </xf>
    <xf borderId="10" fillId="0" fontId="11" numFmtId="14" xfId="0" applyAlignment="1" applyBorder="1" applyFont="1" applyNumberFormat="1">
      <alignment horizontal="left" vertical="center"/>
    </xf>
    <xf borderId="10" fillId="0" fontId="11" numFmtId="0" xfId="0" applyAlignment="1" applyBorder="1" applyFont="1">
      <alignment vertical="center"/>
    </xf>
    <xf borderId="12" fillId="0" fontId="6" numFmtId="0" xfId="0" applyAlignment="1" applyBorder="1" applyFont="1">
      <alignment horizontal="left" vertical="top"/>
    </xf>
    <xf borderId="15" fillId="0" fontId="6" numFmtId="14" xfId="0" applyAlignment="1" applyBorder="1" applyFont="1" applyNumberFormat="1">
      <alignment horizontal="left" vertical="center"/>
    </xf>
    <xf borderId="15" fillId="0" fontId="6" numFmtId="0" xfId="0" applyAlignment="1" applyBorder="1" applyFont="1">
      <alignment horizontal="left" vertical="center"/>
    </xf>
    <xf borderId="19" fillId="0" fontId="6" numFmtId="14" xfId="0" applyAlignment="1" applyBorder="1" applyFont="1" applyNumberFormat="1">
      <alignment horizontal="left" vertical="center"/>
    </xf>
    <xf borderId="19" fillId="0" fontId="6" numFmtId="0" xfId="0" applyAlignment="1" applyBorder="1" applyFont="1">
      <alignment horizontal="left" vertical="center"/>
    </xf>
    <xf borderId="10" fillId="0" fontId="10" numFmtId="14" xfId="0" applyAlignment="1" applyBorder="1" applyFont="1" applyNumberFormat="1">
      <alignment horizontal="left" vertical="top"/>
    </xf>
    <xf borderId="10" fillId="0" fontId="10" numFmtId="0" xfId="0" applyAlignment="1" applyBorder="1" applyFont="1">
      <alignment vertical="center"/>
    </xf>
    <xf borderId="10" fillId="0" fontId="10" numFmtId="14" xfId="0" applyAlignment="1" applyBorder="1" applyFont="1" applyNumberFormat="1">
      <alignment vertical="center"/>
    </xf>
    <xf borderId="11" fillId="10" fontId="5" numFmtId="0" xfId="0" applyAlignment="1" applyBorder="1" applyFont="1">
      <alignment horizontal="center" vertical="center"/>
    </xf>
    <xf borderId="15" fillId="0" fontId="11" numFmtId="14" xfId="0" applyAlignment="1" applyBorder="1" applyFont="1" applyNumberFormat="1">
      <alignment horizontal="left" vertical="center"/>
    </xf>
    <xf borderId="15" fillId="0" fontId="11" numFmtId="0" xfId="0" applyAlignment="1" applyBorder="1" applyFont="1">
      <alignment horizontal="left" vertical="center"/>
    </xf>
    <xf borderId="15" fillId="0" fontId="10" numFmtId="0" xfId="0" applyAlignment="1" applyBorder="1" applyFont="1">
      <alignment vertical="center"/>
    </xf>
    <xf borderId="26" fillId="3" fontId="6" numFmtId="166" xfId="0" applyAlignment="1" applyBorder="1" applyFont="1" applyNumberFormat="1">
      <alignment horizontal="center" vertical="center"/>
    </xf>
    <xf borderId="10" fillId="3" fontId="5" numFmtId="0" xfId="0" applyAlignment="1" applyBorder="1" applyFont="1">
      <alignment horizontal="left" vertical="center"/>
    </xf>
    <xf borderId="10" fillId="0" fontId="7" numFmtId="0" xfId="0" applyAlignment="1" applyBorder="1" applyFont="1">
      <alignment horizontal="left" vertical="center"/>
    </xf>
    <xf borderId="10" fillId="0" fontId="6" numFmtId="14" xfId="0" applyAlignment="1" applyBorder="1" applyFont="1" applyNumberFormat="1">
      <alignment vertical="center"/>
    </xf>
    <xf borderId="10" fillId="0" fontId="9" numFmtId="0" xfId="0" applyAlignment="1" applyBorder="1" applyFont="1">
      <alignment horizontal="left"/>
    </xf>
    <xf borderId="11" fillId="3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vertical="center"/>
    </xf>
    <xf borderId="12" fillId="0" fontId="7" numFmtId="0" xfId="0" applyAlignment="1" applyBorder="1" applyFont="1">
      <alignment vertical="center"/>
    </xf>
    <xf borderId="11" fillId="10" fontId="7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22" fillId="0" fontId="9" numFmtId="14" xfId="0" applyAlignment="1" applyBorder="1" applyFont="1" applyNumberFormat="1">
      <alignment horizontal="left" vertical="center"/>
    </xf>
    <xf borderId="14" fillId="0" fontId="9" numFmtId="0" xfId="0" applyAlignment="1" applyBorder="1" applyFont="1">
      <alignment vertical="center"/>
    </xf>
    <xf borderId="10" fillId="0" fontId="11" numFmtId="0" xfId="0" applyAlignment="1" applyBorder="1" applyFont="1">
      <alignment horizontal="left" vertical="center"/>
    </xf>
    <xf borderId="10" fillId="0" fontId="9" numFmtId="166" xfId="0" applyAlignment="1" applyBorder="1" applyFont="1" applyNumberFormat="1">
      <alignment horizontal="center" vertical="center"/>
    </xf>
    <xf borderId="10" fillId="0" fontId="9" numFmtId="164" xfId="0" applyAlignment="1" applyBorder="1" applyFont="1" applyNumberFormat="1">
      <alignment horizontal="center" vertical="center"/>
    </xf>
    <xf borderId="12" fillId="0" fontId="9" numFmtId="14" xfId="0" applyAlignment="1" applyBorder="1" applyFont="1" applyNumberFormat="1">
      <alignment horizontal="left" vertical="center"/>
    </xf>
    <xf borderId="10" fillId="0" fontId="6" numFmtId="0" xfId="0" applyAlignment="1" applyBorder="1" applyFont="1">
      <alignment horizontal="left"/>
    </xf>
    <xf borderId="12" fillId="0" fontId="9" numFmtId="0" xfId="0" applyAlignment="1" applyBorder="1" applyFont="1">
      <alignment horizontal="left" vertical="center"/>
    </xf>
    <xf borderId="0" fillId="0" fontId="11" numFmtId="0" xfId="0" applyAlignment="1" applyFont="1">
      <alignment vertical="center"/>
    </xf>
    <xf borderId="12" fillId="0" fontId="9" numFmtId="0" xfId="0" applyAlignment="1" applyBorder="1" applyFont="1">
      <alignment vertical="center"/>
    </xf>
    <xf borderId="19" fillId="0" fontId="12" numFmtId="14" xfId="0" applyAlignment="1" applyBorder="1" applyFont="1" applyNumberFormat="1">
      <alignment horizontal="left" vertical="center"/>
    </xf>
    <xf borderId="19" fillId="0" fontId="12" numFmtId="0" xfId="0" applyAlignment="1" applyBorder="1" applyFont="1">
      <alignment vertical="center"/>
    </xf>
    <xf borderId="10" fillId="0" fontId="9" numFmtId="0" xfId="0" applyAlignment="1" applyBorder="1" applyFont="1">
      <alignment horizontal="left" vertical="center"/>
    </xf>
    <xf borderId="12" fillId="0" fontId="9" numFmtId="14" xfId="0" applyAlignment="1" applyBorder="1" applyFont="1" applyNumberFormat="1">
      <alignment horizontal="left" vertical="top"/>
    </xf>
    <xf borderId="15" fillId="0" fontId="12" numFmtId="14" xfId="0" applyAlignment="1" applyBorder="1" applyFont="1" applyNumberFormat="1">
      <alignment horizontal="left" vertical="center"/>
    </xf>
    <xf borderId="15" fillId="0" fontId="12" numFmtId="0" xfId="0" applyAlignment="1" applyBorder="1" applyFont="1">
      <alignment vertical="center"/>
    </xf>
    <xf borderId="10" fillId="0" fontId="9" numFmtId="14" xfId="0" applyAlignment="1" applyBorder="1" applyFont="1" applyNumberFormat="1">
      <alignment horizontal="left" vertical="center"/>
    </xf>
    <xf borderId="10" fillId="0" fontId="9" numFmtId="168" xfId="0" applyAlignment="1" applyBorder="1" applyFont="1" applyNumberFormat="1">
      <alignment horizontal="center" vertical="center"/>
    </xf>
    <xf borderId="15" fillId="0" fontId="9" numFmtId="14" xfId="0" applyAlignment="1" applyBorder="1" applyFont="1" applyNumberFormat="1">
      <alignment horizontal="left" vertical="center"/>
    </xf>
    <xf borderId="15" fillId="0" fontId="9" numFmtId="0" xfId="0" applyAlignment="1" applyBorder="1" applyFont="1">
      <alignment horizontal="left" vertical="center"/>
    </xf>
    <xf borderId="19" fillId="0" fontId="9" numFmtId="14" xfId="0" applyAlignment="1" applyBorder="1" applyFont="1" applyNumberFormat="1">
      <alignment horizontal="left" vertical="center"/>
    </xf>
    <xf borderId="19" fillId="0" fontId="9" numFmtId="0" xfId="0" applyAlignment="1" applyBorder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26" fillId="3" fontId="9" numFmtId="166" xfId="0" applyAlignment="1" applyBorder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12" fillId="0" fontId="9" numFmtId="0" xfId="0" applyAlignment="1" applyBorder="1" applyFont="1">
      <alignment horizontal="center" vertical="center"/>
    </xf>
    <xf borderId="19" fillId="0" fontId="12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14" fillId="0" fontId="9" numFmtId="164" xfId="0" applyAlignment="1" applyBorder="1" applyFont="1" applyNumberFormat="1">
      <alignment horizontal="center" vertical="center"/>
    </xf>
    <xf borderId="19" fillId="0" fontId="12" numFmtId="16" xfId="0" applyAlignment="1" applyBorder="1" applyFont="1" applyNumberFormat="1">
      <alignment horizontal="left" vertical="center"/>
    </xf>
    <xf borderId="10" fillId="0" fontId="12" numFmtId="14" xfId="0" applyAlignment="1" applyBorder="1" applyFont="1" applyNumberFormat="1">
      <alignment horizontal="left" vertical="center"/>
    </xf>
    <xf borderId="10" fillId="0" fontId="12" numFmtId="0" xfId="0" applyAlignment="1" applyBorder="1" applyFont="1">
      <alignment vertical="center"/>
    </xf>
    <xf borderId="12" fillId="0" fontId="12" numFmtId="1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horizontal="center" vertical="center"/>
    </xf>
    <xf borderId="12" fillId="0" fontId="12" numFmtId="14" xfId="0" applyAlignment="1" applyBorder="1" applyFont="1" applyNumberFormat="1">
      <alignment horizontal="left" vertical="center"/>
    </xf>
    <xf borderId="12" fillId="0" fontId="12" numFmtId="0" xfId="0" applyAlignment="1" applyBorder="1" applyFont="1">
      <alignment vertical="center"/>
    </xf>
    <xf borderId="10" fillId="0" fontId="12" numFmtId="16" xfId="0" applyAlignment="1" applyBorder="1" applyFont="1" applyNumberFormat="1">
      <alignment horizontal="left" vertical="center"/>
    </xf>
    <xf borderId="12" fillId="0" fontId="12" numFmtId="16" xfId="0" applyAlignment="1" applyBorder="1" applyFont="1" applyNumberFormat="1">
      <alignment horizontal="center" vertical="center"/>
    </xf>
    <xf borderId="10" fillId="0" fontId="9" numFmtId="14" xfId="0" applyAlignment="1" applyBorder="1" applyFont="1" applyNumberFormat="1">
      <alignment vertical="center"/>
    </xf>
    <xf borderId="10" fillId="0" fontId="12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12" fillId="0" fontId="9" numFmtId="14" xfId="0" applyAlignment="1" applyBorder="1" applyFont="1" applyNumberFormat="1">
      <alignment horizontal="center" vertical="center"/>
    </xf>
    <xf borderId="10" fillId="3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vertical="center"/>
    </xf>
    <xf borderId="10" fillId="10" fontId="7" numFmtId="0" xfId="0" applyAlignment="1" applyBorder="1" applyFont="1">
      <alignment horizontal="center" vertical="center"/>
    </xf>
    <xf borderId="10" fillId="0" fontId="7" numFmtId="164" xfId="0" applyAlignment="1" applyBorder="1" applyFont="1" applyNumberFormat="1">
      <alignment horizontal="center" vertical="center"/>
    </xf>
    <xf borderId="10" fillId="0" fontId="12" numFmtId="16" xfId="0" applyAlignment="1" applyBorder="1" applyFont="1" applyNumberFormat="1">
      <alignment horizontal="center" vertical="center"/>
    </xf>
    <xf borderId="10" fillId="0" fontId="12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shrinkToFit="0" vertical="center" wrapText="1"/>
    </xf>
    <xf borderId="10" fillId="0" fontId="9" numFmtId="169" xfId="0" applyAlignment="1" applyBorder="1" applyFont="1" applyNumberFormat="1">
      <alignment horizontal="left" vertical="center"/>
    </xf>
    <xf borderId="10" fillId="0" fontId="12" numFmtId="16" xfId="0" applyAlignment="1" applyBorder="1" applyFont="1" applyNumberFormat="1">
      <alignment vertical="center"/>
    </xf>
    <xf borderId="10" fillId="0" fontId="12" numFmtId="166" xfId="0" applyAlignment="1" applyBorder="1" applyFont="1" applyNumberFormat="1">
      <alignment horizontal="center" vertical="center"/>
    </xf>
    <xf borderId="10" fillId="0" fontId="12" numFmtId="170" xfId="0" applyAlignment="1" applyBorder="1" applyFont="1" applyNumberFormat="1">
      <alignment vertical="center"/>
    </xf>
    <xf borderId="27" fillId="0" fontId="2" numFmtId="0" xfId="0" applyBorder="1" applyFont="1"/>
    <xf borderId="28" fillId="0" fontId="2" numFmtId="0" xfId="0" applyBorder="1" applyFont="1"/>
    <xf borderId="10" fillId="0" fontId="12" numFmtId="171" xfId="0" applyAlignment="1" applyBorder="1" applyFont="1" applyNumberFormat="1">
      <alignment horizontal="center" vertical="top"/>
    </xf>
    <xf borderId="10" fillId="0" fontId="9" numFmtId="164" xfId="0" applyAlignment="1" applyBorder="1" applyFont="1" applyNumberFormat="1">
      <alignment horizontal="left" vertical="center"/>
    </xf>
    <xf borderId="10" fillId="10" fontId="9" numFmtId="164" xfId="0" applyAlignment="1" applyBorder="1" applyFont="1" applyNumberFormat="1">
      <alignment horizontal="left" vertical="center"/>
    </xf>
    <xf borderId="10" fillId="10" fontId="9" numFmtId="164" xfId="0" applyAlignment="1" applyBorder="1" applyFont="1" applyNumberFormat="1">
      <alignment horizontal="left" vertical="top"/>
    </xf>
    <xf borderId="10" fillId="10" fontId="9" numFmtId="166" xfId="0" applyAlignment="1" applyBorder="1" applyFont="1" applyNumberFormat="1">
      <alignment horizontal="center" vertical="center"/>
    </xf>
    <xf borderId="10" fillId="0" fontId="9" numFmtId="172" xfId="0" applyAlignment="1" applyBorder="1" applyFont="1" applyNumberFormat="1">
      <alignment vertical="center"/>
    </xf>
    <xf borderId="10" fillId="10" fontId="12" numFmtId="0" xfId="0" applyAlignment="1" applyBorder="1" applyFont="1">
      <alignment horizontal="left" vertical="center"/>
    </xf>
    <xf borderId="10" fillId="10" fontId="12" numFmtId="0" xfId="0" applyAlignment="1" applyBorder="1" applyFont="1">
      <alignment horizontal="left" vertical="top"/>
    </xf>
    <xf borderId="10" fillId="10" fontId="12" numFmtId="166" xfId="0" applyAlignment="1" applyBorder="1" applyFont="1" applyNumberFormat="1">
      <alignment horizontal="center" vertical="center"/>
    </xf>
    <xf borderId="10" fillId="0" fontId="12" numFmtId="172" xfId="0" applyAlignment="1" applyBorder="1" applyFont="1" applyNumberFormat="1">
      <alignment vertical="center"/>
    </xf>
    <xf borderId="10" fillId="10" fontId="12" numFmtId="16" xfId="0" applyAlignment="1" applyBorder="1" applyFont="1" applyNumberFormat="1">
      <alignment horizontal="left" vertical="center"/>
    </xf>
    <xf borderId="10" fillId="10" fontId="12" numFmtId="16" xfId="0" applyAlignment="1" applyBorder="1" applyFont="1" applyNumberFormat="1">
      <alignment horizontal="left" vertical="top"/>
    </xf>
    <xf borderId="25" fillId="0" fontId="9" numFmtId="0" xfId="0" applyAlignment="1" applyBorder="1" applyFont="1">
      <alignment horizontal="center" vertical="center"/>
    </xf>
    <xf borderId="19" fillId="0" fontId="12" numFmtId="171" xfId="0" applyAlignment="1" applyBorder="1" applyFont="1" applyNumberFormat="1">
      <alignment horizontal="left" vertical="center"/>
    </xf>
    <xf borderId="19" fillId="0" fontId="12" numFmtId="16" xfId="0" applyAlignment="1" applyBorder="1" applyFont="1" applyNumberFormat="1">
      <alignment vertical="center"/>
    </xf>
    <xf borderId="19" fillId="0" fontId="12" numFmtId="166" xfId="0" applyAlignment="1" applyBorder="1" applyFont="1" applyNumberFormat="1">
      <alignment horizontal="center" vertical="center"/>
    </xf>
    <xf borderId="19" fillId="0" fontId="12" numFmtId="172" xfId="0" applyAlignment="1" applyBorder="1" applyFont="1" applyNumberFormat="1">
      <alignment vertical="center"/>
    </xf>
    <xf borderId="10" fillId="0" fontId="12" numFmtId="171" xfId="0" applyAlignment="1" applyBorder="1" applyFont="1" applyNumberFormat="1">
      <alignment horizontal="left" vertical="center"/>
    </xf>
    <xf borderId="0" fillId="0" fontId="6" numFmtId="171" xfId="0" applyAlignment="1" applyFont="1" applyNumberFormat="1">
      <alignment horizontal="left" vertical="center"/>
    </xf>
    <xf borderId="0" fillId="0" fontId="6" numFmtId="172" xfId="0" applyAlignment="1" applyFont="1" applyNumberFormat="1">
      <alignment horizontal="center" vertical="center"/>
    </xf>
    <xf borderId="10" fillId="0" fontId="12" numFmtId="171" xfId="0" applyAlignment="1" applyBorder="1" applyFont="1" applyNumberFormat="1">
      <alignment horizontal="left" vertical="top"/>
    </xf>
    <xf borderId="10" fillId="0" fontId="9" numFmtId="172" xfId="0" applyAlignment="1" applyBorder="1" applyFont="1" applyNumberFormat="1">
      <alignment horizontal="right" vertical="center"/>
    </xf>
    <xf borderId="10" fillId="0" fontId="12" numFmtId="172" xfId="0" applyAlignment="1" applyBorder="1" applyFont="1" applyNumberFormat="1">
      <alignment horizontal="right" vertical="center"/>
    </xf>
    <xf borderId="10" fillId="0" fontId="9" numFmtId="171" xfId="0" applyAlignment="1" applyBorder="1" applyFont="1" applyNumberFormat="1">
      <alignment horizontal="left" vertical="center"/>
    </xf>
    <xf borderId="0" fillId="0" fontId="6" numFmtId="172" xfId="0" applyAlignment="1" applyFont="1" applyNumberFormat="1">
      <alignment horizontal="right" vertical="center"/>
    </xf>
    <xf borderId="0" fillId="0" fontId="13" numFmtId="172" xfId="0" applyAlignment="1" applyFont="1" applyNumberFormat="1">
      <alignment horizontal="right" vertical="center"/>
    </xf>
    <xf borderId="12" fillId="0" fontId="12" numFmtId="171" xfId="0" applyAlignment="1" applyBorder="1" applyFont="1" applyNumberFormat="1">
      <alignment horizontal="left" vertical="top"/>
    </xf>
    <xf borderId="12" fillId="10" fontId="12" numFmtId="0" xfId="0" applyAlignment="1" applyBorder="1" applyFont="1">
      <alignment horizontal="left" vertical="center"/>
    </xf>
    <xf borderId="12" fillId="0" fontId="12" numFmtId="171" xfId="0" applyAlignment="1" applyBorder="1" applyFont="1" applyNumberFormat="1">
      <alignment horizontal="left" vertical="center"/>
    </xf>
    <xf borderId="12" fillId="10" fontId="12" numFmtId="0" xfId="0" applyAlignment="1" applyBorder="1" applyFont="1">
      <alignment horizontal="center" vertical="center"/>
    </xf>
    <xf borderId="10" fillId="10" fontId="12" numFmtId="0" xfId="0" applyAlignment="1" applyBorder="1" applyFont="1">
      <alignment vertical="center"/>
    </xf>
    <xf borderId="12" fillId="0" fontId="12" numFmtId="171" xfId="0" applyAlignment="1" applyBorder="1" applyFont="1" applyNumberFormat="1">
      <alignment horizontal="center" vertical="top"/>
    </xf>
    <xf borderId="12" fillId="10" fontId="12" numFmtId="16" xfId="0" applyAlignment="1" applyBorder="1" applyFont="1" applyNumberFormat="1">
      <alignment horizontal="center" vertical="center"/>
    </xf>
    <xf borderId="12" fillId="10" fontId="12" numFmtId="16" xfId="0" applyAlignment="1" applyBorder="1" applyFont="1" applyNumberFormat="1">
      <alignment horizontal="center" vertical="top"/>
    </xf>
    <xf borderId="12" fillId="10" fontId="12" numFmtId="166" xfId="0" applyAlignment="1" applyBorder="1" applyFont="1" applyNumberFormat="1">
      <alignment horizontal="center" vertical="center"/>
    </xf>
    <xf borderId="10" fillId="0" fontId="9" numFmtId="173" xfId="0" applyAlignment="1" applyBorder="1" applyFont="1" applyNumberFormat="1">
      <alignment vertical="center"/>
    </xf>
    <xf borderId="10" fillId="0" fontId="9" numFmtId="164" xfId="0" applyAlignment="1" applyBorder="1" applyFont="1" applyNumberFormat="1">
      <alignment vertical="center"/>
    </xf>
    <xf borderId="12" fillId="0" fontId="9" numFmtId="171" xfId="0" applyAlignment="1" applyBorder="1" applyFont="1" applyNumberFormat="1">
      <alignment horizontal="left" vertical="center"/>
    </xf>
    <xf borderId="12" fillId="0" fontId="9" numFmtId="171" xfId="0" applyAlignment="1" applyBorder="1" applyFont="1" applyNumberFormat="1">
      <alignment horizontal="center" vertical="center"/>
    </xf>
    <xf borderId="15" fillId="0" fontId="9" numFmtId="0" xfId="0" applyAlignment="1" applyBorder="1" applyFont="1">
      <alignment vertical="center"/>
    </xf>
    <xf borderId="0" fillId="0" fontId="14" numFmtId="0" xfId="0" applyFont="1"/>
    <xf borderId="10" fillId="0" fontId="9" numFmtId="171" xfId="0" applyAlignment="1" applyBorder="1" applyFont="1" applyNumberFormat="1">
      <alignment vertical="center"/>
    </xf>
    <xf borderId="12" fillId="0" fontId="9" numFmtId="171" xfId="0" applyAlignment="1" applyBorder="1" applyFont="1" applyNumberFormat="1">
      <alignment horizontal="right" vertical="center"/>
    </xf>
    <xf borderId="10" fillId="0" fontId="9" numFmtId="173" xfId="0" applyAlignment="1" applyBorder="1" applyFont="1" applyNumberFormat="1">
      <alignment horizontal="right" vertical="center"/>
    </xf>
    <xf borderId="0" fillId="0" fontId="4" numFmtId="172" xfId="0" applyAlignment="1" applyFont="1" applyNumberFormat="1">
      <alignment vertical="center"/>
    </xf>
    <xf borderId="12" fillId="0" fontId="9" numFmtId="171" xfId="0" applyAlignment="1" applyBorder="1" applyFont="1" applyNumberFormat="1">
      <alignment vertical="center"/>
    </xf>
    <xf borderId="19" fillId="0" fontId="9" numFmtId="171" xfId="0" applyAlignment="1" applyBorder="1" applyFont="1" applyNumberFormat="1">
      <alignment vertical="center"/>
    </xf>
    <xf borderId="12" fillId="0" fontId="9" numFmtId="173" xfId="0" applyAlignment="1" applyBorder="1" applyFont="1" applyNumberFormat="1">
      <alignment horizontal="right" vertical="center"/>
    </xf>
    <xf borderId="10" fillId="0" fontId="9" numFmtId="164" xfId="0" applyAlignment="1" applyBorder="1" applyFont="1" applyNumberFormat="1">
      <alignment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3.14"/>
    <col customWidth="1" min="3" max="5" width="24.43"/>
    <col customWidth="1" min="6" max="6" width="10.86"/>
    <col customWidth="1" min="7" max="7" width="12.0"/>
    <col customWidth="1" min="8" max="8" width="10.43"/>
    <col customWidth="1" min="9" max="9" width="11.43"/>
    <col customWidth="1" min="10" max="10" width="18.0"/>
    <col customWidth="1" min="11" max="11" width="17.14"/>
    <col customWidth="1" min="12" max="13" width="18.14"/>
    <col customWidth="1" min="14" max="26" width="9.14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4.2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4.25" customHeight="1">
      <c r="A3" s="11" t="s">
        <v>2</v>
      </c>
      <c r="B3" s="15" t="s">
        <v>3</v>
      </c>
      <c r="C3" s="15" t="s">
        <v>4</v>
      </c>
      <c r="D3" s="18" t="s">
        <v>5</v>
      </c>
      <c r="E3" s="18" t="s">
        <v>6</v>
      </c>
      <c r="F3" s="15" t="s">
        <v>7</v>
      </c>
      <c r="G3" s="21" t="s">
        <v>8</v>
      </c>
      <c r="H3" s="21" t="s">
        <v>9</v>
      </c>
      <c r="I3" s="15" t="s">
        <v>10</v>
      </c>
      <c r="J3" s="15" t="s">
        <v>11</v>
      </c>
      <c r="K3" s="15" t="s">
        <v>12</v>
      </c>
      <c r="L3" s="15" t="s">
        <v>17</v>
      </c>
      <c r="M3" s="15" t="s">
        <v>14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4.25" customHeight="1">
      <c r="A4" s="11">
        <f t="shared" ref="A4:A9" si="3">ROW()-3</f>
        <v>1</v>
      </c>
      <c r="B4" s="27">
        <v>44781.0</v>
      </c>
      <c r="C4" s="29" t="s">
        <v>18</v>
      </c>
      <c r="D4" s="18" t="s">
        <v>20</v>
      </c>
      <c r="E4" s="18" t="s">
        <v>23</v>
      </c>
      <c r="F4" s="11">
        <v>1.0</v>
      </c>
      <c r="G4" s="21">
        <v>2400.0</v>
      </c>
      <c r="H4" s="21">
        <v>6750.0</v>
      </c>
      <c r="I4" s="21">
        <f t="shared" ref="I4:I26" si="4">(H4-G4)</f>
        <v>4350</v>
      </c>
      <c r="J4" s="19">
        <f t="shared" ref="J4:K4" si="1">SUM(H4:H38)</f>
        <v>106550</v>
      </c>
      <c r="K4" s="34">
        <f t="shared" si="1"/>
        <v>63050</v>
      </c>
      <c r="L4" s="34">
        <f t="shared" ref="L4:M4" si="2">J4/2</f>
        <v>53275</v>
      </c>
      <c r="M4" s="34">
        <f t="shared" si="2"/>
        <v>31525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11">
        <f t="shared" si="3"/>
        <v>2</v>
      </c>
      <c r="B5" s="27">
        <v>44783.0</v>
      </c>
      <c r="C5" s="29" t="s">
        <v>35</v>
      </c>
      <c r="D5" s="18" t="s">
        <v>36</v>
      </c>
      <c r="E5" s="18" t="s">
        <v>37</v>
      </c>
      <c r="F5" s="11">
        <v>1.0</v>
      </c>
      <c r="G5" s="21">
        <v>1800.0</v>
      </c>
      <c r="H5" s="21">
        <v>3800.0</v>
      </c>
      <c r="I5" s="21">
        <f t="shared" si="4"/>
        <v>2000</v>
      </c>
      <c r="J5" s="38"/>
      <c r="K5" s="38"/>
      <c r="L5" s="38"/>
      <c r="M5" s="38"/>
    </row>
    <row r="6" ht="14.25" customHeight="1">
      <c r="A6" s="11">
        <f t="shared" si="3"/>
        <v>3</v>
      </c>
      <c r="B6" s="27">
        <v>44784.0</v>
      </c>
      <c r="C6" s="29" t="s">
        <v>40</v>
      </c>
      <c r="D6" s="18" t="s">
        <v>41</v>
      </c>
      <c r="E6" s="18" t="s">
        <v>37</v>
      </c>
      <c r="F6" s="11">
        <v>1.0</v>
      </c>
      <c r="G6" s="21">
        <v>2500.0</v>
      </c>
      <c r="H6" s="21">
        <v>4500.0</v>
      </c>
      <c r="I6" s="21">
        <f t="shared" si="4"/>
        <v>2000</v>
      </c>
      <c r="J6" s="38"/>
      <c r="K6" s="38"/>
      <c r="L6" s="38"/>
      <c r="M6" s="38"/>
    </row>
    <row r="7" ht="14.25" customHeight="1">
      <c r="A7" s="11">
        <f t="shared" si="3"/>
        <v>4</v>
      </c>
      <c r="B7" s="27">
        <v>44785.0</v>
      </c>
      <c r="C7" s="29" t="s">
        <v>18</v>
      </c>
      <c r="D7" s="18" t="s">
        <v>48</v>
      </c>
      <c r="E7" s="18" t="s">
        <v>49</v>
      </c>
      <c r="F7" s="11">
        <v>1.0</v>
      </c>
      <c r="G7" s="21">
        <v>2400.0</v>
      </c>
      <c r="H7" s="21">
        <v>6750.0</v>
      </c>
      <c r="I7" s="21">
        <f t="shared" si="4"/>
        <v>4350</v>
      </c>
      <c r="J7" s="38"/>
      <c r="K7" s="38"/>
      <c r="L7" s="38"/>
      <c r="M7" s="38"/>
    </row>
    <row r="8" ht="14.25" customHeight="1">
      <c r="A8" s="11">
        <f t="shared" si="3"/>
        <v>5</v>
      </c>
      <c r="B8" s="27">
        <v>44786.0</v>
      </c>
      <c r="C8" s="29" t="s">
        <v>19</v>
      </c>
      <c r="D8" s="18" t="s">
        <v>58</v>
      </c>
      <c r="E8" s="18" t="s">
        <v>60</v>
      </c>
      <c r="F8" s="11">
        <v>1.0</v>
      </c>
      <c r="G8" s="21">
        <v>2100.0</v>
      </c>
      <c r="H8" s="21">
        <v>4800.0</v>
      </c>
      <c r="I8" s="21">
        <f t="shared" si="4"/>
        <v>2700</v>
      </c>
      <c r="J8" s="38"/>
      <c r="K8" s="38"/>
      <c r="L8" s="38"/>
      <c r="M8" s="38"/>
    </row>
    <row r="9" ht="14.25" customHeight="1">
      <c r="A9" s="49">
        <f t="shared" si="3"/>
        <v>6</v>
      </c>
      <c r="B9" s="51">
        <v>44787.0</v>
      </c>
      <c r="C9" s="29" t="s">
        <v>68</v>
      </c>
      <c r="D9" s="52" t="s">
        <v>69</v>
      </c>
      <c r="E9" s="52" t="s">
        <v>70</v>
      </c>
      <c r="F9" s="11">
        <v>2.0</v>
      </c>
      <c r="G9" s="21">
        <v>1000.0</v>
      </c>
      <c r="H9" s="21">
        <v>2000.0</v>
      </c>
      <c r="I9" s="21">
        <f t="shared" si="4"/>
        <v>1000</v>
      </c>
      <c r="J9" s="38"/>
      <c r="K9" s="38"/>
      <c r="L9" s="38"/>
      <c r="M9" s="38"/>
    </row>
    <row r="10" ht="14.25" customHeight="1">
      <c r="A10" s="38"/>
      <c r="B10" s="38"/>
      <c r="C10" s="29" t="s">
        <v>18</v>
      </c>
      <c r="D10" s="38"/>
      <c r="E10" s="38"/>
      <c r="F10" s="11">
        <v>1.0</v>
      </c>
      <c r="G10" s="21">
        <v>2400.0</v>
      </c>
      <c r="H10" s="21">
        <v>6750.0</v>
      </c>
      <c r="I10" s="21">
        <f t="shared" si="4"/>
        <v>4350</v>
      </c>
      <c r="J10" s="38"/>
      <c r="K10" s="38"/>
      <c r="L10" s="38"/>
      <c r="M10" s="38"/>
    </row>
    <row r="11" ht="14.25" customHeight="1">
      <c r="A11" s="47"/>
      <c r="B11" s="47"/>
      <c r="C11" s="29" t="s">
        <v>18</v>
      </c>
      <c r="D11" s="47"/>
      <c r="E11" s="47"/>
      <c r="F11" s="11">
        <v>1.0</v>
      </c>
      <c r="G11" s="21">
        <v>2400.0</v>
      </c>
      <c r="H11" s="21">
        <v>6750.0</v>
      </c>
      <c r="I11" s="21">
        <f t="shared" si="4"/>
        <v>4350</v>
      </c>
      <c r="J11" s="38"/>
      <c r="K11" s="38"/>
      <c r="L11" s="38"/>
      <c r="M11" s="38"/>
    </row>
    <row r="12" ht="14.25" customHeight="1">
      <c r="A12" s="11">
        <f t="shared" ref="A12:A13" si="5">ROW()-3</f>
        <v>9</v>
      </c>
      <c r="B12" s="27">
        <v>44789.0</v>
      </c>
      <c r="C12" s="29" t="s">
        <v>40</v>
      </c>
      <c r="D12" s="18" t="s">
        <v>77</v>
      </c>
      <c r="E12" s="18" t="s">
        <v>78</v>
      </c>
      <c r="F12" s="11">
        <v>1.0</v>
      </c>
      <c r="G12" s="21">
        <v>2500.0</v>
      </c>
      <c r="H12" s="21">
        <v>5000.0</v>
      </c>
      <c r="I12" s="21">
        <f t="shared" si="4"/>
        <v>2500</v>
      </c>
      <c r="J12" s="38"/>
      <c r="K12" s="38"/>
      <c r="L12" s="38"/>
      <c r="M12" s="38"/>
    </row>
    <row r="13" ht="14.25" customHeight="1">
      <c r="A13" s="11">
        <f t="shared" si="5"/>
        <v>10</v>
      </c>
      <c r="B13" s="27">
        <v>44791.0</v>
      </c>
      <c r="C13" s="29" t="s">
        <v>18</v>
      </c>
      <c r="D13" s="18" t="s">
        <v>81</v>
      </c>
      <c r="E13" s="18" t="s">
        <v>83</v>
      </c>
      <c r="F13" s="11">
        <v>1.0</v>
      </c>
      <c r="G13" s="21">
        <v>2400.0</v>
      </c>
      <c r="H13" s="21">
        <v>6750.0</v>
      </c>
      <c r="I13" s="21">
        <f t="shared" si="4"/>
        <v>4350</v>
      </c>
      <c r="J13" s="38"/>
      <c r="K13" s="38"/>
      <c r="L13" s="38"/>
      <c r="M13" s="38"/>
    </row>
    <row r="14" ht="14.25" customHeight="1">
      <c r="A14" s="11">
        <v>8.0</v>
      </c>
      <c r="B14" s="27">
        <v>44796.0</v>
      </c>
      <c r="C14" s="29" t="s">
        <v>18</v>
      </c>
      <c r="D14" s="18" t="s">
        <v>88</v>
      </c>
      <c r="E14" s="18" t="s">
        <v>89</v>
      </c>
      <c r="F14" s="11">
        <v>1.0</v>
      </c>
      <c r="G14" s="21">
        <v>2400.0</v>
      </c>
      <c r="H14" s="21">
        <v>6750.0</v>
      </c>
      <c r="I14" s="21">
        <f t="shared" si="4"/>
        <v>4350</v>
      </c>
      <c r="J14" s="38"/>
      <c r="K14" s="38"/>
      <c r="L14" s="38"/>
      <c r="M14" s="38"/>
    </row>
    <row r="15" ht="14.25" customHeight="1">
      <c r="A15" s="49">
        <v>9.0</v>
      </c>
      <c r="B15" s="51">
        <v>44798.0</v>
      </c>
      <c r="C15" s="29" t="s">
        <v>18</v>
      </c>
      <c r="D15" s="52" t="s">
        <v>94</v>
      </c>
      <c r="E15" s="52" t="s">
        <v>95</v>
      </c>
      <c r="F15" s="11">
        <v>1.0</v>
      </c>
      <c r="G15" s="21">
        <v>2400.0</v>
      </c>
      <c r="H15" s="21">
        <v>6750.0</v>
      </c>
      <c r="I15" s="21">
        <f t="shared" si="4"/>
        <v>4350</v>
      </c>
      <c r="J15" s="38"/>
      <c r="K15" s="38"/>
      <c r="L15" s="38"/>
      <c r="M15" s="38"/>
    </row>
    <row r="16" ht="14.25" customHeight="1">
      <c r="A16" s="47"/>
      <c r="B16" s="47"/>
      <c r="C16" s="29" t="s">
        <v>68</v>
      </c>
      <c r="D16" s="47"/>
      <c r="E16" s="47"/>
      <c r="F16" s="11">
        <v>1.0</v>
      </c>
      <c r="G16" s="21">
        <v>500.0</v>
      </c>
      <c r="H16" s="21">
        <v>1000.0</v>
      </c>
      <c r="I16" s="21">
        <f t="shared" si="4"/>
        <v>500</v>
      </c>
      <c r="J16" s="38"/>
      <c r="K16" s="38"/>
      <c r="L16" s="38"/>
      <c r="M16" s="38"/>
    </row>
    <row r="17" ht="14.25" customHeight="1">
      <c r="A17" s="49">
        <v>10.0</v>
      </c>
      <c r="B17" s="51">
        <v>44797.0</v>
      </c>
      <c r="C17" s="29" t="s">
        <v>18</v>
      </c>
      <c r="D17" s="52" t="s">
        <v>99</v>
      </c>
      <c r="E17" s="52" t="s">
        <v>78</v>
      </c>
      <c r="F17" s="11">
        <v>1.0</v>
      </c>
      <c r="G17" s="21">
        <v>2400.0</v>
      </c>
      <c r="H17" s="21">
        <v>6750.0</v>
      </c>
      <c r="I17" s="21">
        <f t="shared" si="4"/>
        <v>4350</v>
      </c>
      <c r="J17" s="38"/>
      <c r="K17" s="38"/>
      <c r="L17" s="38"/>
      <c r="M17" s="38"/>
    </row>
    <row r="18" ht="14.25" customHeight="1">
      <c r="A18" s="38"/>
      <c r="B18" s="38"/>
      <c r="C18" s="29" t="s">
        <v>103</v>
      </c>
      <c r="D18" s="38"/>
      <c r="E18" s="38"/>
      <c r="F18" s="11">
        <v>1.0</v>
      </c>
      <c r="G18" s="21">
        <v>800.0</v>
      </c>
      <c r="H18" s="21">
        <v>1800.0</v>
      </c>
      <c r="I18" s="21">
        <f t="shared" si="4"/>
        <v>1000</v>
      </c>
      <c r="J18" s="38"/>
      <c r="K18" s="38"/>
      <c r="L18" s="38"/>
      <c r="M18" s="38"/>
    </row>
    <row r="19" ht="14.25" customHeight="1">
      <c r="A19" s="47"/>
      <c r="B19" s="47"/>
      <c r="C19" s="29" t="s">
        <v>43</v>
      </c>
      <c r="D19" s="47"/>
      <c r="E19" s="47"/>
      <c r="F19" s="11">
        <v>1.0</v>
      </c>
      <c r="G19" s="21">
        <v>1550.0</v>
      </c>
      <c r="H19" s="21">
        <v>3000.0</v>
      </c>
      <c r="I19" s="21">
        <f t="shared" si="4"/>
        <v>1450</v>
      </c>
      <c r="J19" s="38"/>
      <c r="K19" s="38"/>
      <c r="L19" s="38"/>
      <c r="M19" s="38"/>
    </row>
    <row r="20" ht="14.25" customHeight="1">
      <c r="A20" s="49">
        <v>11.0</v>
      </c>
      <c r="B20" s="51">
        <v>44803.0</v>
      </c>
      <c r="C20" s="29" t="s">
        <v>38</v>
      </c>
      <c r="D20" s="52" t="s">
        <v>109</v>
      </c>
      <c r="E20" s="52" t="s">
        <v>31</v>
      </c>
      <c r="F20" s="11">
        <v>1.0</v>
      </c>
      <c r="G20" s="21">
        <v>350.0</v>
      </c>
      <c r="H20" s="21">
        <v>1500.0</v>
      </c>
      <c r="I20" s="21">
        <f t="shared" si="4"/>
        <v>1150</v>
      </c>
      <c r="J20" s="38"/>
      <c r="K20" s="38"/>
      <c r="L20" s="38"/>
      <c r="M20" s="38"/>
    </row>
    <row r="21" ht="15.75" customHeight="1">
      <c r="A21" s="38"/>
      <c r="B21" s="38"/>
      <c r="C21" s="29" t="s">
        <v>18</v>
      </c>
      <c r="D21" s="38"/>
      <c r="E21" s="38"/>
      <c r="F21" s="11">
        <v>1.0</v>
      </c>
      <c r="G21" s="21">
        <v>2400.0</v>
      </c>
      <c r="H21" s="21">
        <v>6750.0</v>
      </c>
      <c r="I21" s="21">
        <f t="shared" si="4"/>
        <v>4350</v>
      </c>
      <c r="J21" s="38"/>
      <c r="K21" s="38"/>
      <c r="L21" s="38"/>
      <c r="M21" s="38"/>
    </row>
    <row r="22" ht="15.75" customHeight="1">
      <c r="A22" s="47"/>
      <c r="B22" s="47"/>
      <c r="C22" s="29" t="s">
        <v>43</v>
      </c>
      <c r="D22" s="47"/>
      <c r="E22" s="47"/>
      <c r="F22" s="11">
        <v>1.0</v>
      </c>
      <c r="G22" s="21">
        <v>1550.0</v>
      </c>
      <c r="H22" s="21">
        <v>3000.0</v>
      </c>
      <c r="I22" s="21">
        <f t="shared" si="4"/>
        <v>1450</v>
      </c>
      <c r="J22" s="38"/>
      <c r="K22" s="38"/>
      <c r="L22" s="38"/>
      <c r="M22" s="38"/>
    </row>
    <row r="23" ht="15.75" customHeight="1">
      <c r="A23" s="11">
        <v>12.0</v>
      </c>
      <c r="B23" s="27">
        <v>44803.0</v>
      </c>
      <c r="C23" s="29" t="s">
        <v>43</v>
      </c>
      <c r="D23" s="18" t="s">
        <v>112</v>
      </c>
      <c r="E23" s="18" t="s">
        <v>31</v>
      </c>
      <c r="F23" s="11">
        <v>1.0</v>
      </c>
      <c r="G23" s="21">
        <v>1550.0</v>
      </c>
      <c r="H23" s="21">
        <v>3000.0</v>
      </c>
      <c r="I23" s="21">
        <f t="shared" si="4"/>
        <v>1450</v>
      </c>
      <c r="J23" s="38"/>
      <c r="K23" s="38"/>
      <c r="L23" s="38"/>
      <c r="M23" s="38"/>
    </row>
    <row r="24" ht="15.75" customHeight="1">
      <c r="A24" s="11">
        <v>13.0</v>
      </c>
      <c r="B24" s="27">
        <v>44803.0</v>
      </c>
      <c r="C24" s="29" t="s">
        <v>115</v>
      </c>
      <c r="D24" s="18" t="s">
        <v>116</v>
      </c>
      <c r="E24" s="18" t="s">
        <v>61</v>
      </c>
      <c r="F24" s="11">
        <v>1.0</v>
      </c>
      <c r="G24" s="21">
        <v>1800.0</v>
      </c>
      <c r="H24" s="21">
        <v>3800.0</v>
      </c>
      <c r="I24" s="21">
        <f t="shared" si="4"/>
        <v>2000</v>
      </c>
      <c r="J24" s="38"/>
      <c r="K24" s="38"/>
      <c r="L24" s="38"/>
      <c r="M24" s="38"/>
    </row>
    <row r="25" ht="15.75" customHeight="1">
      <c r="A25" s="11">
        <v>14.0</v>
      </c>
      <c r="B25" s="27">
        <v>44805.0</v>
      </c>
      <c r="C25" s="29" t="s">
        <v>35</v>
      </c>
      <c r="D25" s="18" t="s">
        <v>117</v>
      </c>
      <c r="E25" s="18" t="s">
        <v>28</v>
      </c>
      <c r="F25" s="11">
        <v>1.0</v>
      </c>
      <c r="G25" s="21">
        <v>1800.0</v>
      </c>
      <c r="H25" s="21">
        <v>3800.0</v>
      </c>
      <c r="I25" s="21">
        <f t="shared" si="4"/>
        <v>2000</v>
      </c>
      <c r="J25" s="38"/>
      <c r="K25" s="38"/>
      <c r="L25" s="38"/>
      <c r="M25" s="38"/>
    </row>
    <row r="26" ht="15.75" customHeight="1">
      <c r="A26" s="11">
        <v>15.0</v>
      </c>
      <c r="B26" s="27">
        <v>44805.0</v>
      </c>
      <c r="C26" s="29" t="s">
        <v>19</v>
      </c>
      <c r="D26" s="18" t="s">
        <v>121</v>
      </c>
      <c r="E26" s="18" t="s">
        <v>122</v>
      </c>
      <c r="F26" s="11">
        <v>1.0</v>
      </c>
      <c r="G26" s="21">
        <v>2100.0</v>
      </c>
      <c r="H26" s="21">
        <v>4800.0</v>
      </c>
      <c r="I26" s="21">
        <f t="shared" si="4"/>
        <v>2700</v>
      </c>
      <c r="J26" s="47"/>
      <c r="K26" s="47"/>
      <c r="L26" s="47"/>
      <c r="M26" s="47"/>
    </row>
    <row r="27" ht="15.75" customHeight="1">
      <c r="A27" s="24"/>
      <c r="B27" s="24"/>
      <c r="D27" s="59"/>
      <c r="E27" s="59"/>
      <c r="F27" s="24">
        <f>SUM(F4:F26)</f>
        <v>24</v>
      </c>
      <c r="G27" s="61"/>
      <c r="H27" s="61"/>
      <c r="I27" s="24"/>
      <c r="J27" s="24"/>
      <c r="K27" s="24"/>
      <c r="L27" s="24"/>
      <c r="M27" s="24"/>
    </row>
    <row r="28" ht="15.75" customHeight="1">
      <c r="A28" s="24"/>
      <c r="B28" s="24"/>
      <c r="D28" s="59"/>
      <c r="E28" s="59"/>
      <c r="F28" s="24"/>
      <c r="G28" s="61"/>
      <c r="H28" s="61"/>
      <c r="I28" s="24"/>
      <c r="J28" s="24"/>
      <c r="K28" s="24"/>
      <c r="L28" s="24"/>
      <c r="M28" s="24"/>
    </row>
    <row r="29" ht="15.75" customHeight="1">
      <c r="A29" s="24"/>
      <c r="B29" s="24"/>
      <c r="D29" s="59"/>
      <c r="E29" s="59"/>
      <c r="F29" s="24"/>
      <c r="G29" s="61"/>
      <c r="H29" s="61"/>
      <c r="I29" s="24"/>
      <c r="J29" s="24"/>
      <c r="K29" s="24"/>
      <c r="L29" s="24"/>
      <c r="M29" s="24"/>
    </row>
    <row r="30" ht="15.75" customHeight="1">
      <c r="A30" s="24"/>
      <c r="B30" s="24"/>
      <c r="D30" s="59"/>
      <c r="E30" s="59"/>
      <c r="F30" s="24"/>
      <c r="G30" s="61"/>
      <c r="H30" s="61"/>
      <c r="I30" s="24"/>
      <c r="J30" s="24"/>
      <c r="K30" s="24"/>
      <c r="L30" s="24"/>
      <c r="M30" s="24"/>
    </row>
    <row r="31" ht="15.75" customHeight="1">
      <c r="A31" s="24"/>
      <c r="B31" s="24"/>
      <c r="D31" s="59"/>
      <c r="E31" s="59"/>
      <c r="F31" s="24"/>
      <c r="G31" s="61"/>
      <c r="H31" s="61"/>
      <c r="I31" s="24"/>
      <c r="J31" s="24"/>
      <c r="K31" s="24"/>
      <c r="L31" s="24"/>
      <c r="M31" s="24"/>
    </row>
    <row r="32" ht="15.75" customHeight="1">
      <c r="A32" s="24"/>
      <c r="B32" s="24"/>
      <c r="D32" s="59"/>
      <c r="E32" s="59"/>
      <c r="F32" s="24"/>
      <c r="G32" s="61"/>
      <c r="H32" s="61"/>
      <c r="I32" s="24"/>
      <c r="J32" s="24"/>
      <c r="K32" s="24"/>
      <c r="L32" s="24"/>
      <c r="M32" s="24"/>
    </row>
    <row r="33" ht="15.75" customHeight="1">
      <c r="A33" s="24"/>
      <c r="B33" s="24"/>
      <c r="D33" s="59"/>
      <c r="E33" s="59"/>
      <c r="F33" s="24"/>
      <c r="G33" s="61"/>
      <c r="H33" s="61"/>
      <c r="I33" s="24"/>
      <c r="J33" s="24"/>
      <c r="K33" s="24"/>
      <c r="L33" s="24"/>
      <c r="M33" s="24"/>
    </row>
    <row r="34" ht="15.75" customHeight="1">
      <c r="A34" s="24"/>
      <c r="B34" s="24"/>
      <c r="D34" s="59"/>
      <c r="E34" s="59"/>
      <c r="F34" s="24"/>
      <c r="G34" s="61"/>
      <c r="H34" s="61"/>
      <c r="I34" s="24"/>
      <c r="J34" s="24"/>
      <c r="K34" s="24"/>
      <c r="L34" s="24"/>
      <c r="M34" s="24"/>
    </row>
    <row r="35" ht="15.75" customHeight="1">
      <c r="A35" s="24"/>
      <c r="B35" s="24"/>
      <c r="D35" s="59"/>
      <c r="E35" s="59"/>
      <c r="F35" s="24"/>
      <c r="G35" s="61"/>
      <c r="H35" s="61"/>
      <c r="I35" s="24"/>
      <c r="J35" s="24"/>
      <c r="K35" s="24"/>
      <c r="L35" s="24"/>
      <c r="M35" s="24"/>
    </row>
    <row r="36" ht="15.75" customHeight="1">
      <c r="A36" s="24"/>
      <c r="B36" s="24"/>
      <c r="D36" s="59"/>
      <c r="E36" s="59"/>
      <c r="F36" s="24"/>
      <c r="G36" s="61"/>
      <c r="H36" s="61"/>
      <c r="I36" s="24"/>
      <c r="J36" s="24"/>
      <c r="K36" s="24"/>
      <c r="L36" s="24"/>
      <c r="M36" s="24"/>
    </row>
    <row r="37" ht="15.75" customHeight="1">
      <c r="A37" s="24"/>
      <c r="B37" s="24"/>
      <c r="D37" s="59"/>
      <c r="E37" s="59"/>
      <c r="F37" s="24"/>
      <c r="G37" s="61"/>
      <c r="H37" s="61"/>
      <c r="I37" s="24"/>
      <c r="J37" s="24"/>
      <c r="K37" s="24"/>
      <c r="L37" s="24"/>
      <c r="M37" s="24"/>
    </row>
    <row r="38" ht="15.75" customHeight="1">
      <c r="A38" s="24"/>
      <c r="B38" s="24"/>
      <c r="D38" s="59"/>
      <c r="E38" s="59"/>
      <c r="F38" s="24"/>
      <c r="G38" s="61"/>
      <c r="H38" s="61"/>
      <c r="I38" s="24"/>
      <c r="J38" s="24"/>
      <c r="K38" s="24"/>
      <c r="L38" s="24"/>
      <c r="M38" s="24"/>
    </row>
    <row r="39" ht="15.75" customHeight="1">
      <c r="A39" s="24"/>
      <c r="B39" s="24"/>
      <c r="D39" s="59"/>
      <c r="E39" s="59"/>
      <c r="F39" s="24"/>
      <c r="G39" s="61"/>
      <c r="H39" s="61"/>
      <c r="I39" s="24"/>
      <c r="J39" s="24"/>
      <c r="K39" s="24"/>
      <c r="L39" s="24"/>
      <c r="M39" s="24"/>
    </row>
    <row r="40" ht="15.75" customHeight="1">
      <c r="A40" s="24"/>
      <c r="B40" s="24"/>
      <c r="D40" s="59"/>
      <c r="E40" s="59"/>
      <c r="F40" s="24"/>
      <c r="G40" s="61"/>
      <c r="H40" s="61"/>
      <c r="I40" s="24"/>
      <c r="J40" s="24"/>
      <c r="K40" s="24"/>
      <c r="L40" s="24"/>
      <c r="M40" s="24"/>
    </row>
    <row r="41" ht="15.75" customHeight="1">
      <c r="A41" s="24"/>
      <c r="B41" s="24"/>
      <c r="D41" s="59"/>
      <c r="E41" s="59"/>
      <c r="F41" s="24"/>
      <c r="G41" s="61"/>
      <c r="H41" s="61"/>
      <c r="I41" s="24"/>
      <c r="J41" s="24"/>
      <c r="K41" s="24"/>
      <c r="L41" s="24"/>
      <c r="M41" s="24"/>
    </row>
    <row r="42" ht="15.75" customHeight="1">
      <c r="A42" s="24"/>
      <c r="B42" s="24"/>
      <c r="D42" s="59"/>
      <c r="E42" s="59"/>
      <c r="F42" s="24"/>
      <c r="G42" s="61"/>
      <c r="H42" s="61"/>
      <c r="I42" s="24"/>
      <c r="J42" s="24"/>
      <c r="K42" s="24"/>
      <c r="L42" s="24"/>
      <c r="M42" s="24"/>
    </row>
    <row r="43" ht="15.75" customHeight="1">
      <c r="A43" s="24"/>
      <c r="B43" s="24"/>
      <c r="D43" s="59"/>
      <c r="E43" s="59"/>
      <c r="F43" s="24"/>
      <c r="G43" s="61"/>
      <c r="H43" s="61"/>
      <c r="I43" s="24"/>
      <c r="J43" s="24"/>
      <c r="K43" s="24"/>
      <c r="L43" s="24"/>
      <c r="M43" s="24"/>
    </row>
    <row r="44" ht="15.75" customHeight="1">
      <c r="A44" s="24"/>
      <c r="B44" s="24"/>
      <c r="D44" s="59"/>
      <c r="E44" s="59"/>
      <c r="F44" s="24"/>
      <c r="G44" s="61"/>
      <c r="H44" s="61"/>
      <c r="I44" s="24"/>
      <c r="J44" s="24"/>
      <c r="K44" s="24"/>
      <c r="L44" s="24"/>
      <c r="M44" s="24"/>
    </row>
    <row r="45" ht="15.75" customHeight="1">
      <c r="A45" s="24"/>
      <c r="B45" s="24"/>
      <c r="D45" s="59"/>
      <c r="E45" s="59"/>
      <c r="F45" s="24"/>
      <c r="G45" s="61"/>
      <c r="H45" s="61"/>
      <c r="I45" s="24"/>
      <c r="J45" s="24"/>
      <c r="K45" s="24"/>
      <c r="L45" s="24"/>
      <c r="M45" s="24"/>
    </row>
    <row r="46" ht="15.75" customHeight="1">
      <c r="A46" s="24"/>
      <c r="B46" s="24"/>
      <c r="D46" s="59"/>
      <c r="E46" s="59"/>
      <c r="F46" s="24"/>
      <c r="G46" s="61"/>
      <c r="H46" s="61"/>
      <c r="I46" s="24"/>
      <c r="J46" s="24"/>
      <c r="K46" s="24"/>
      <c r="L46" s="24"/>
      <c r="M46" s="24"/>
    </row>
    <row r="47" ht="15.75" customHeight="1">
      <c r="A47" s="24"/>
      <c r="B47" s="24"/>
      <c r="D47" s="59"/>
      <c r="E47" s="59"/>
      <c r="F47" s="24"/>
      <c r="G47" s="61"/>
      <c r="H47" s="61"/>
      <c r="I47" s="24"/>
      <c r="J47" s="24"/>
      <c r="K47" s="24"/>
      <c r="L47" s="24"/>
      <c r="M47" s="24"/>
    </row>
    <row r="48" ht="15.75" customHeight="1">
      <c r="A48" s="24"/>
      <c r="B48" s="24"/>
      <c r="D48" s="59"/>
      <c r="E48" s="59"/>
      <c r="F48" s="24"/>
      <c r="G48" s="61"/>
      <c r="H48" s="61"/>
      <c r="I48" s="24"/>
      <c r="J48" s="24"/>
      <c r="K48" s="24"/>
      <c r="L48" s="24"/>
      <c r="M48" s="24"/>
    </row>
    <row r="49" ht="15.75" customHeight="1">
      <c r="A49" s="24"/>
      <c r="B49" s="24"/>
      <c r="D49" s="59"/>
      <c r="E49" s="59"/>
      <c r="F49" s="24"/>
      <c r="G49" s="61"/>
      <c r="H49" s="61"/>
      <c r="I49" s="24"/>
      <c r="J49" s="24"/>
      <c r="K49" s="24"/>
      <c r="L49" s="24"/>
      <c r="M49" s="24"/>
    </row>
    <row r="50" ht="15.75" customHeight="1">
      <c r="A50" s="24"/>
      <c r="B50" s="24"/>
      <c r="D50" s="59"/>
      <c r="E50" s="59"/>
      <c r="F50" s="24"/>
      <c r="G50" s="61"/>
      <c r="H50" s="61"/>
      <c r="I50" s="24"/>
      <c r="J50" s="24"/>
      <c r="K50" s="24"/>
      <c r="L50" s="24"/>
      <c r="M50" s="24"/>
    </row>
    <row r="51" ht="15.75" customHeight="1">
      <c r="A51" s="24"/>
      <c r="B51" s="24"/>
      <c r="D51" s="59"/>
      <c r="E51" s="59"/>
      <c r="F51" s="24"/>
      <c r="G51" s="61"/>
      <c r="H51" s="61"/>
      <c r="I51" s="24"/>
      <c r="J51" s="24"/>
      <c r="K51" s="24"/>
      <c r="L51" s="24"/>
      <c r="M51" s="24"/>
    </row>
    <row r="52" ht="15.75" customHeight="1">
      <c r="A52" s="24"/>
      <c r="B52" s="24"/>
      <c r="D52" s="59"/>
      <c r="E52" s="59"/>
      <c r="F52" s="24"/>
      <c r="G52" s="61"/>
      <c r="H52" s="61"/>
      <c r="I52" s="24"/>
      <c r="J52" s="24"/>
      <c r="K52" s="24"/>
      <c r="L52" s="24"/>
      <c r="M52" s="24"/>
    </row>
    <row r="53" ht="15.75" customHeight="1">
      <c r="A53" s="24"/>
      <c r="B53" s="24"/>
      <c r="D53" s="59"/>
      <c r="E53" s="59"/>
      <c r="F53" s="24"/>
      <c r="G53" s="61"/>
      <c r="H53" s="61"/>
      <c r="I53" s="24"/>
      <c r="J53" s="24"/>
      <c r="K53" s="24"/>
      <c r="L53" s="24"/>
      <c r="M53" s="24"/>
    </row>
    <row r="54" ht="15.75" customHeight="1">
      <c r="A54" s="24"/>
      <c r="B54" s="24"/>
      <c r="D54" s="59"/>
      <c r="E54" s="59"/>
      <c r="F54" s="24"/>
      <c r="G54" s="61"/>
      <c r="H54" s="61"/>
      <c r="I54" s="24"/>
      <c r="J54" s="24"/>
      <c r="K54" s="24"/>
      <c r="L54" s="24"/>
      <c r="M54" s="24"/>
    </row>
    <row r="55" ht="15.75" customHeight="1">
      <c r="A55" s="24"/>
      <c r="B55" s="24"/>
      <c r="D55" s="59"/>
      <c r="E55" s="59"/>
      <c r="F55" s="24"/>
      <c r="G55" s="61"/>
      <c r="H55" s="61"/>
      <c r="I55" s="24"/>
      <c r="J55" s="24"/>
      <c r="K55" s="24"/>
      <c r="L55" s="24"/>
      <c r="M55" s="24"/>
    </row>
    <row r="56" ht="15.75" customHeight="1">
      <c r="A56" s="24"/>
      <c r="B56" s="24"/>
      <c r="D56" s="59"/>
      <c r="E56" s="59"/>
      <c r="F56" s="24"/>
      <c r="G56" s="61"/>
      <c r="H56" s="61"/>
      <c r="I56" s="24"/>
      <c r="J56" s="24"/>
      <c r="K56" s="24"/>
      <c r="L56" s="24"/>
      <c r="M56" s="24"/>
    </row>
    <row r="57" ht="15.75" customHeight="1">
      <c r="A57" s="24"/>
      <c r="B57" s="24"/>
      <c r="D57" s="59"/>
      <c r="E57" s="59"/>
      <c r="F57" s="24"/>
      <c r="G57" s="61"/>
      <c r="H57" s="61"/>
      <c r="I57" s="24"/>
      <c r="J57" s="24"/>
      <c r="K57" s="24"/>
      <c r="L57" s="24"/>
      <c r="M57" s="24"/>
    </row>
    <row r="58" ht="15.75" customHeight="1">
      <c r="A58" s="24"/>
      <c r="B58" s="24"/>
      <c r="D58" s="59"/>
      <c r="E58" s="59"/>
      <c r="F58" s="24"/>
      <c r="G58" s="61"/>
      <c r="H58" s="61"/>
      <c r="I58" s="24"/>
      <c r="J58" s="24"/>
      <c r="K58" s="24"/>
      <c r="L58" s="24"/>
      <c r="M58" s="24"/>
    </row>
    <row r="59" ht="15.75" customHeight="1">
      <c r="A59" s="24"/>
      <c r="B59" s="24"/>
      <c r="D59" s="59"/>
      <c r="E59" s="59"/>
      <c r="F59" s="24"/>
      <c r="G59" s="61"/>
      <c r="H59" s="61"/>
      <c r="I59" s="24"/>
      <c r="J59" s="24"/>
      <c r="K59" s="24"/>
      <c r="L59" s="24"/>
      <c r="M59" s="24"/>
    </row>
    <row r="60" ht="15.75" customHeight="1">
      <c r="A60" s="24"/>
      <c r="B60" s="24"/>
      <c r="D60" s="59"/>
      <c r="E60" s="59"/>
      <c r="F60" s="24"/>
      <c r="G60" s="61"/>
      <c r="H60" s="61"/>
      <c r="I60" s="24"/>
      <c r="J60" s="24"/>
      <c r="K60" s="24"/>
      <c r="L60" s="24"/>
      <c r="M60" s="24"/>
    </row>
    <row r="61" ht="15.75" customHeight="1">
      <c r="A61" s="24"/>
      <c r="B61" s="24"/>
      <c r="D61" s="59"/>
      <c r="E61" s="59"/>
      <c r="F61" s="24"/>
      <c r="G61" s="61"/>
      <c r="H61" s="61"/>
      <c r="I61" s="24"/>
      <c r="J61" s="24"/>
      <c r="K61" s="24"/>
      <c r="L61" s="24"/>
      <c r="M61" s="24"/>
    </row>
    <row r="62" ht="15.75" customHeight="1">
      <c r="A62" s="24"/>
      <c r="B62" s="24"/>
      <c r="D62" s="59"/>
      <c r="E62" s="59"/>
      <c r="F62" s="24"/>
      <c r="G62" s="61"/>
      <c r="H62" s="61"/>
      <c r="I62" s="24"/>
      <c r="J62" s="24"/>
      <c r="K62" s="24"/>
      <c r="L62" s="24"/>
      <c r="M62" s="24"/>
    </row>
    <row r="63" ht="15.75" customHeight="1">
      <c r="A63" s="24"/>
      <c r="B63" s="24"/>
      <c r="D63" s="59"/>
      <c r="E63" s="59"/>
      <c r="F63" s="24"/>
      <c r="G63" s="61"/>
      <c r="H63" s="61"/>
      <c r="I63" s="24"/>
      <c r="J63" s="24"/>
      <c r="K63" s="24"/>
      <c r="L63" s="24"/>
      <c r="M63" s="24"/>
    </row>
    <row r="64" ht="15.75" customHeight="1">
      <c r="A64" s="24"/>
      <c r="B64" s="24"/>
      <c r="D64" s="59"/>
      <c r="E64" s="59"/>
      <c r="F64" s="24"/>
      <c r="G64" s="61"/>
      <c r="H64" s="61"/>
      <c r="I64" s="24"/>
      <c r="J64" s="24"/>
      <c r="K64" s="24"/>
      <c r="L64" s="24"/>
      <c r="M64" s="24"/>
    </row>
    <row r="65" ht="15.75" customHeight="1">
      <c r="A65" s="24"/>
      <c r="B65" s="24"/>
      <c r="D65" s="59"/>
      <c r="E65" s="59"/>
      <c r="F65" s="24"/>
      <c r="G65" s="61"/>
      <c r="H65" s="61"/>
      <c r="I65" s="24"/>
      <c r="J65" s="24"/>
      <c r="K65" s="24"/>
      <c r="L65" s="24"/>
      <c r="M65" s="24"/>
    </row>
    <row r="66" ht="15.75" customHeight="1">
      <c r="A66" s="24"/>
      <c r="B66" s="24"/>
      <c r="D66" s="59"/>
      <c r="E66" s="59"/>
      <c r="F66" s="24"/>
      <c r="G66" s="61"/>
      <c r="H66" s="61"/>
      <c r="I66" s="24"/>
      <c r="J66" s="24"/>
      <c r="K66" s="24"/>
      <c r="L66" s="24"/>
      <c r="M66" s="24"/>
    </row>
    <row r="67" ht="15.75" customHeight="1">
      <c r="A67" s="24"/>
      <c r="B67" s="24"/>
      <c r="D67" s="59"/>
      <c r="E67" s="59"/>
      <c r="F67" s="24"/>
      <c r="G67" s="61"/>
      <c r="H67" s="61"/>
      <c r="I67" s="24"/>
      <c r="J67" s="24"/>
      <c r="K67" s="24"/>
      <c r="L67" s="24"/>
      <c r="M67" s="24"/>
    </row>
    <row r="68" ht="15.75" customHeight="1">
      <c r="A68" s="24"/>
      <c r="B68" s="24"/>
      <c r="D68" s="59"/>
      <c r="E68" s="59"/>
      <c r="F68" s="24"/>
      <c r="G68" s="61"/>
      <c r="H68" s="61"/>
      <c r="I68" s="24"/>
      <c r="J68" s="24"/>
      <c r="K68" s="24"/>
      <c r="L68" s="24"/>
      <c r="M68" s="24"/>
    </row>
    <row r="69" ht="15.75" customHeight="1">
      <c r="A69" s="24"/>
      <c r="B69" s="24"/>
      <c r="D69" s="59"/>
      <c r="E69" s="59"/>
      <c r="F69" s="24"/>
      <c r="G69" s="61"/>
      <c r="H69" s="61"/>
      <c r="I69" s="24"/>
      <c r="J69" s="24"/>
      <c r="K69" s="24"/>
      <c r="L69" s="24"/>
      <c r="M69" s="24"/>
    </row>
    <row r="70" ht="15.75" customHeight="1">
      <c r="A70" s="24"/>
      <c r="B70" s="24"/>
      <c r="D70" s="59"/>
      <c r="E70" s="59"/>
      <c r="F70" s="24"/>
      <c r="G70" s="61"/>
      <c r="H70" s="61"/>
      <c r="I70" s="24"/>
      <c r="J70" s="24"/>
      <c r="K70" s="24"/>
      <c r="L70" s="24"/>
      <c r="M70" s="24"/>
    </row>
    <row r="71" ht="15.75" customHeight="1">
      <c r="A71" s="24"/>
      <c r="B71" s="24"/>
      <c r="D71" s="59"/>
      <c r="E71" s="59"/>
      <c r="F71" s="24"/>
      <c r="G71" s="61"/>
      <c r="H71" s="61"/>
      <c r="I71" s="24"/>
      <c r="J71" s="24"/>
      <c r="K71" s="24"/>
      <c r="L71" s="24"/>
      <c r="M71" s="24"/>
    </row>
    <row r="72" ht="15.75" customHeight="1">
      <c r="A72" s="24"/>
      <c r="B72" s="24"/>
      <c r="D72" s="59"/>
      <c r="E72" s="59"/>
      <c r="F72" s="24"/>
      <c r="G72" s="61"/>
      <c r="H72" s="61"/>
      <c r="I72" s="24"/>
      <c r="J72" s="24"/>
      <c r="K72" s="24"/>
      <c r="L72" s="24"/>
      <c r="M72" s="24"/>
    </row>
    <row r="73" ht="15.75" customHeight="1">
      <c r="A73" s="24"/>
      <c r="B73" s="24"/>
      <c r="D73" s="59"/>
      <c r="E73" s="59"/>
      <c r="F73" s="24"/>
      <c r="G73" s="61"/>
      <c r="H73" s="61"/>
      <c r="I73" s="24"/>
      <c r="J73" s="24"/>
      <c r="K73" s="24"/>
      <c r="L73" s="24"/>
      <c r="M73" s="24"/>
    </row>
    <row r="74" ht="15.75" customHeight="1">
      <c r="A74" s="24"/>
      <c r="B74" s="24"/>
      <c r="D74" s="59"/>
      <c r="E74" s="59"/>
      <c r="F74" s="24"/>
      <c r="G74" s="61"/>
      <c r="H74" s="61"/>
      <c r="I74" s="24"/>
      <c r="J74" s="24"/>
      <c r="K74" s="24"/>
      <c r="L74" s="24"/>
      <c r="M74" s="24"/>
    </row>
    <row r="75" ht="15.75" customHeight="1">
      <c r="A75" s="24"/>
      <c r="B75" s="24"/>
      <c r="D75" s="59"/>
      <c r="E75" s="59"/>
      <c r="F75" s="24"/>
      <c r="G75" s="61"/>
      <c r="H75" s="61"/>
      <c r="I75" s="24"/>
      <c r="J75" s="24"/>
      <c r="K75" s="24"/>
      <c r="L75" s="24"/>
      <c r="M75" s="24"/>
    </row>
    <row r="76" ht="15.75" customHeight="1">
      <c r="A76" s="24"/>
      <c r="B76" s="24"/>
      <c r="D76" s="59"/>
      <c r="E76" s="59"/>
      <c r="F76" s="24"/>
      <c r="G76" s="61"/>
      <c r="H76" s="61"/>
      <c r="I76" s="24"/>
      <c r="J76" s="24"/>
      <c r="K76" s="24"/>
      <c r="L76" s="24"/>
      <c r="M76" s="24"/>
    </row>
    <row r="77" ht="15.75" customHeight="1">
      <c r="A77" s="24"/>
      <c r="B77" s="24"/>
      <c r="D77" s="59"/>
      <c r="E77" s="59"/>
      <c r="F77" s="24"/>
      <c r="G77" s="61"/>
      <c r="H77" s="61"/>
      <c r="I77" s="24"/>
      <c r="J77" s="24"/>
      <c r="K77" s="24"/>
      <c r="L77" s="24"/>
      <c r="M77" s="24"/>
    </row>
    <row r="78" ht="15.75" customHeight="1">
      <c r="A78" s="24"/>
      <c r="B78" s="24"/>
      <c r="D78" s="59"/>
      <c r="E78" s="59"/>
      <c r="F78" s="24"/>
      <c r="G78" s="61"/>
      <c r="H78" s="61"/>
      <c r="I78" s="24"/>
      <c r="J78" s="24"/>
      <c r="K78" s="24"/>
      <c r="L78" s="24"/>
      <c r="M78" s="24"/>
    </row>
    <row r="79" ht="15.75" customHeight="1">
      <c r="A79" s="24"/>
      <c r="B79" s="24"/>
      <c r="D79" s="59"/>
      <c r="E79" s="59"/>
      <c r="F79" s="24"/>
      <c r="G79" s="61"/>
      <c r="H79" s="61"/>
      <c r="I79" s="24"/>
      <c r="J79" s="24"/>
      <c r="K79" s="24"/>
      <c r="L79" s="24"/>
      <c r="M79" s="24"/>
    </row>
    <row r="80" ht="15.75" customHeight="1">
      <c r="A80" s="24"/>
      <c r="B80" s="24"/>
      <c r="D80" s="59"/>
      <c r="E80" s="59"/>
      <c r="F80" s="24"/>
      <c r="G80" s="61"/>
      <c r="H80" s="61"/>
      <c r="I80" s="24"/>
      <c r="J80" s="24"/>
      <c r="K80" s="24"/>
      <c r="L80" s="24"/>
      <c r="M80" s="24"/>
    </row>
    <row r="81" ht="15.75" customHeight="1">
      <c r="A81" s="24"/>
      <c r="B81" s="24"/>
      <c r="D81" s="59"/>
      <c r="E81" s="59"/>
      <c r="F81" s="24"/>
      <c r="G81" s="61"/>
      <c r="H81" s="61"/>
      <c r="I81" s="24"/>
      <c r="J81" s="24"/>
      <c r="K81" s="24"/>
      <c r="L81" s="24"/>
      <c r="M81" s="24"/>
    </row>
    <row r="82" ht="15.75" customHeight="1">
      <c r="A82" s="24"/>
      <c r="B82" s="24"/>
      <c r="D82" s="59"/>
      <c r="E82" s="59"/>
      <c r="F82" s="24"/>
      <c r="G82" s="61"/>
      <c r="H82" s="61"/>
      <c r="I82" s="24"/>
      <c r="J82" s="24"/>
      <c r="K82" s="24"/>
      <c r="L82" s="24"/>
      <c r="M82" s="24"/>
    </row>
    <row r="83" ht="15.75" customHeight="1">
      <c r="A83" s="24"/>
      <c r="B83" s="24"/>
      <c r="D83" s="59"/>
      <c r="E83" s="59"/>
      <c r="F83" s="24"/>
      <c r="G83" s="61"/>
      <c r="H83" s="61"/>
      <c r="I83" s="24"/>
      <c r="J83" s="24"/>
      <c r="K83" s="24"/>
      <c r="L83" s="24"/>
      <c r="M83" s="24"/>
    </row>
    <row r="84" ht="15.75" customHeight="1">
      <c r="A84" s="24"/>
      <c r="B84" s="24"/>
      <c r="D84" s="59"/>
      <c r="E84" s="59"/>
      <c r="F84" s="24"/>
      <c r="G84" s="61"/>
      <c r="H84" s="61"/>
      <c r="I84" s="24"/>
      <c r="J84" s="24"/>
      <c r="K84" s="24"/>
      <c r="L84" s="24"/>
      <c r="M84" s="24"/>
    </row>
    <row r="85" ht="15.75" customHeight="1">
      <c r="A85" s="24"/>
      <c r="B85" s="24"/>
      <c r="D85" s="59"/>
      <c r="E85" s="59"/>
      <c r="F85" s="24"/>
      <c r="G85" s="61"/>
      <c r="H85" s="61"/>
      <c r="I85" s="24"/>
      <c r="J85" s="24"/>
      <c r="K85" s="24"/>
      <c r="L85" s="24"/>
      <c r="M85" s="24"/>
    </row>
    <row r="86" ht="15.75" customHeight="1">
      <c r="A86" s="24"/>
      <c r="B86" s="24"/>
      <c r="D86" s="59"/>
      <c r="E86" s="59"/>
      <c r="F86" s="24"/>
      <c r="G86" s="61"/>
      <c r="H86" s="61"/>
      <c r="I86" s="24"/>
      <c r="J86" s="24"/>
      <c r="K86" s="24"/>
      <c r="L86" s="24"/>
      <c r="M86" s="24"/>
    </row>
    <row r="87" ht="15.75" customHeight="1">
      <c r="A87" s="24"/>
      <c r="B87" s="24"/>
      <c r="D87" s="59"/>
      <c r="E87" s="59"/>
      <c r="F87" s="24"/>
      <c r="G87" s="61"/>
      <c r="H87" s="61"/>
      <c r="I87" s="24"/>
      <c r="J87" s="24"/>
      <c r="K87" s="24"/>
      <c r="L87" s="24"/>
      <c r="M87" s="24"/>
    </row>
    <row r="88" ht="15.75" customHeight="1">
      <c r="A88" s="24"/>
      <c r="B88" s="24"/>
      <c r="D88" s="59"/>
      <c r="E88" s="59"/>
      <c r="F88" s="24"/>
      <c r="G88" s="61"/>
      <c r="H88" s="61"/>
      <c r="I88" s="24"/>
      <c r="J88" s="24"/>
      <c r="K88" s="24"/>
      <c r="L88" s="24"/>
      <c r="M88" s="24"/>
    </row>
    <row r="89" ht="15.75" customHeight="1">
      <c r="A89" s="24"/>
      <c r="B89" s="24"/>
      <c r="D89" s="59"/>
      <c r="E89" s="59"/>
      <c r="F89" s="24"/>
      <c r="G89" s="61"/>
      <c r="H89" s="61"/>
      <c r="I89" s="24"/>
      <c r="J89" s="24"/>
      <c r="K89" s="24"/>
      <c r="L89" s="24"/>
      <c r="M89" s="24"/>
    </row>
    <row r="90" ht="15.75" customHeight="1">
      <c r="A90" s="24"/>
      <c r="B90" s="24"/>
      <c r="D90" s="59"/>
      <c r="E90" s="59"/>
      <c r="F90" s="24"/>
      <c r="G90" s="61"/>
      <c r="H90" s="61"/>
      <c r="I90" s="24"/>
      <c r="J90" s="24"/>
      <c r="K90" s="24"/>
      <c r="L90" s="24"/>
      <c r="M90" s="24"/>
    </row>
    <row r="91" ht="15.75" customHeight="1">
      <c r="A91" s="24"/>
      <c r="B91" s="24"/>
      <c r="D91" s="59"/>
      <c r="E91" s="59"/>
      <c r="F91" s="24"/>
      <c r="G91" s="61"/>
      <c r="H91" s="61"/>
      <c r="I91" s="24"/>
      <c r="J91" s="24"/>
      <c r="K91" s="24"/>
      <c r="L91" s="24"/>
      <c r="M91" s="24"/>
    </row>
    <row r="92" ht="15.75" customHeight="1">
      <c r="A92" s="24"/>
      <c r="B92" s="24"/>
      <c r="D92" s="59"/>
      <c r="E92" s="59"/>
      <c r="F92" s="24"/>
      <c r="G92" s="61"/>
      <c r="H92" s="61"/>
      <c r="I92" s="24"/>
      <c r="J92" s="24"/>
      <c r="K92" s="24"/>
      <c r="L92" s="24"/>
      <c r="M92" s="24"/>
    </row>
    <row r="93" ht="15.75" customHeight="1">
      <c r="A93" s="24"/>
      <c r="B93" s="24"/>
      <c r="D93" s="59"/>
      <c r="E93" s="59"/>
      <c r="F93" s="24"/>
      <c r="G93" s="61"/>
      <c r="H93" s="61"/>
      <c r="I93" s="24"/>
      <c r="J93" s="24"/>
      <c r="K93" s="24"/>
      <c r="L93" s="24"/>
      <c r="M93" s="24"/>
    </row>
    <row r="94" ht="15.75" customHeight="1">
      <c r="A94" s="24"/>
      <c r="B94" s="24"/>
      <c r="D94" s="59"/>
      <c r="E94" s="59"/>
      <c r="F94" s="24"/>
      <c r="G94" s="61"/>
      <c r="H94" s="61"/>
      <c r="I94" s="24"/>
      <c r="J94" s="24"/>
      <c r="K94" s="24"/>
      <c r="L94" s="24"/>
      <c r="M94" s="24"/>
    </row>
    <row r="95" ht="15.75" customHeight="1">
      <c r="A95" s="24"/>
      <c r="B95" s="24"/>
      <c r="D95" s="59"/>
      <c r="E95" s="59"/>
      <c r="F95" s="24"/>
      <c r="G95" s="61"/>
      <c r="H95" s="61"/>
      <c r="I95" s="24"/>
      <c r="J95" s="24"/>
      <c r="K95" s="24"/>
      <c r="L95" s="24"/>
      <c r="M95" s="24"/>
    </row>
    <row r="96" ht="15.75" customHeight="1">
      <c r="A96" s="24"/>
      <c r="B96" s="24"/>
      <c r="D96" s="59"/>
      <c r="E96" s="59"/>
      <c r="F96" s="24"/>
      <c r="G96" s="61"/>
      <c r="H96" s="61"/>
      <c r="I96" s="24"/>
      <c r="J96" s="24"/>
      <c r="K96" s="24"/>
      <c r="L96" s="24"/>
      <c r="M96" s="24"/>
    </row>
    <row r="97" ht="15.75" customHeight="1">
      <c r="A97" s="24"/>
      <c r="B97" s="24"/>
      <c r="D97" s="59"/>
      <c r="E97" s="59"/>
      <c r="F97" s="24"/>
      <c r="G97" s="61"/>
      <c r="H97" s="61"/>
      <c r="I97" s="24"/>
      <c r="J97" s="24"/>
      <c r="K97" s="24"/>
      <c r="L97" s="24"/>
      <c r="M97" s="24"/>
    </row>
    <row r="98" ht="15.75" customHeight="1">
      <c r="A98" s="24"/>
      <c r="B98" s="24"/>
      <c r="D98" s="59"/>
      <c r="E98" s="59"/>
      <c r="F98" s="24"/>
      <c r="G98" s="61"/>
      <c r="H98" s="61"/>
      <c r="I98" s="24"/>
      <c r="J98" s="24"/>
      <c r="K98" s="24"/>
      <c r="L98" s="24"/>
      <c r="M98" s="24"/>
    </row>
    <row r="99" ht="15.75" customHeight="1">
      <c r="A99" s="24"/>
      <c r="B99" s="24"/>
      <c r="D99" s="59"/>
      <c r="E99" s="59"/>
      <c r="F99" s="24"/>
      <c r="G99" s="61"/>
      <c r="H99" s="61"/>
      <c r="I99" s="24"/>
      <c r="J99" s="24"/>
      <c r="K99" s="24"/>
      <c r="L99" s="24"/>
      <c r="M99" s="24"/>
    </row>
    <row r="100" ht="15.75" customHeight="1">
      <c r="A100" s="24"/>
      <c r="B100" s="24"/>
      <c r="D100" s="59"/>
      <c r="E100" s="59"/>
      <c r="F100" s="24"/>
      <c r="G100" s="61"/>
      <c r="H100" s="61"/>
      <c r="I100" s="24"/>
      <c r="J100" s="24"/>
      <c r="K100" s="24"/>
      <c r="L100" s="24"/>
      <c r="M100" s="24"/>
    </row>
    <row r="101" ht="15.75" customHeight="1">
      <c r="A101" s="24"/>
      <c r="B101" s="24"/>
      <c r="D101" s="59"/>
      <c r="E101" s="59"/>
      <c r="F101" s="24"/>
      <c r="G101" s="61"/>
      <c r="H101" s="61"/>
      <c r="I101" s="24"/>
      <c r="J101" s="24"/>
      <c r="K101" s="24"/>
      <c r="L101" s="24"/>
      <c r="M101" s="24"/>
    </row>
    <row r="102" ht="15.75" customHeight="1">
      <c r="A102" s="24"/>
      <c r="B102" s="24"/>
      <c r="D102" s="59"/>
      <c r="E102" s="59"/>
      <c r="F102" s="24"/>
      <c r="G102" s="61"/>
      <c r="H102" s="61"/>
      <c r="I102" s="24"/>
      <c r="J102" s="24"/>
      <c r="K102" s="24"/>
      <c r="L102" s="24"/>
      <c r="M102" s="24"/>
    </row>
    <row r="103" ht="15.75" customHeight="1">
      <c r="A103" s="24"/>
      <c r="B103" s="24"/>
      <c r="D103" s="59"/>
      <c r="E103" s="59"/>
      <c r="F103" s="24"/>
      <c r="G103" s="61"/>
      <c r="H103" s="61"/>
      <c r="I103" s="24"/>
      <c r="J103" s="24"/>
      <c r="K103" s="24"/>
      <c r="L103" s="24"/>
      <c r="M103" s="24"/>
    </row>
    <row r="104" ht="15.75" customHeight="1">
      <c r="A104" s="24"/>
      <c r="B104" s="24"/>
      <c r="D104" s="59"/>
      <c r="E104" s="59"/>
      <c r="F104" s="24"/>
      <c r="G104" s="61"/>
      <c r="H104" s="61"/>
      <c r="I104" s="24"/>
      <c r="J104" s="24"/>
      <c r="K104" s="24"/>
      <c r="L104" s="24"/>
      <c r="M104" s="24"/>
    </row>
    <row r="105" ht="15.75" customHeight="1">
      <c r="A105" s="24"/>
      <c r="B105" s="24"/>
      <c r="D105" s="59"/>
      <c r="E105" s="59"/>
      <c r="F105" s="24"/>
      <c r="G105" s="61"/>
      <c r="H105" s="61"/>
      <c r="I105" s="24"/>
      <c r="J105" s="24"/>
      <c r="K105" s="24"/>
      <c r="L105" s="24"/>
      <c r="M105" s="24"/>
    </row>
    <row r="106" ht="15.75" customHeight="1">
      <c r="A106" s="24"/>
      <c r="B106" s="24"/>
      <c r="D106" s="59"/>
      <c r="E106" s="59"/>
      <c r="F106" s="24"/>
      <c r="G106" s="61"/>
      <c r="H106" s="61"/>
      <c r="I106" s="24"/>
      <c r="J106" s="24"/>
      <c r="K106" s="24"/>
      <c r="L106" s="24"/>
      <c r="M106" s="24"/>
    </row>
    <row r="107" ht="15.75" customHeight="1">
      <c r="A107" s="24"/>
      <c r="B107" s="24"/>
      <c r="D107" s="59"/>
      <c r="E107" s="59"/>
      <c r="F107" s="24"/>
      <c r="G107" s="61"/>
      <c r="H107" s="61"/>
      <c r="I107" s="24"/>
      <c r="J107" s="24"/>
      <c r="K107" s="24"/>
      <c r="L107" s="24"/>
      <c r="M107" s="24"/>
    </row>
    <row r="108" ht="15.75" customHeight="1">
      <c r="A108" s="24"/>
      <c r="B108" s="24"/>
      <c r="D108" s="59"/>
      <c r="E108" s="59"/>
      <c r="F108" s="24"/>
      <c r="G108" s="61"/>
      <c r="H108" s="61"/>
      <c r="I108" s="24"/>
      <c r="J108" s="24"/>
      <c r="K108" s="24"/>
      <c r="L108" s="24"/>
      <c r="M108" s="24"/>
    </row>
    <row r="109" ht="15.75" customHeight="1">
      <c r="A109" s="24"/>
      <c r="B109" s="24"/>
      <c r="D109" s="59"/>
      <c r="E109" s="59"/>
      <c r="F109" s="24"/>
      <c r="G109" s="61"/>
      <c r="H109" s="61"/>
      <c r="I109" s="24"/>
      <c r="J109" s="24"/>
      <c r="K109" s="24"/>
      <c r="L109" s="24"/>
      <c r="M109" s="24"/>
    </row>
    <row r="110" ht="15.75" customHeight="1">
      <c r="A110" s="24"/>
      <c r="B110" s="24"/>
      <c r="D110" s="59"/>
      <c r="E110" s="59"/>
      <c r="F110" s="24"/>
      <c r="G110" s="61"/>
      <c r="H110" s="61"/>
      <c r="I110" s="24"/>
      <c r="J110" s="24"/>
      <c r="K110" s="24"/>
      <c r="L110" s="24"/>
      <c r="M110" s="24"/>
    </row>
    <row r="111" ht="15.75" customHeight="1">
      <c r="A111" s="24"/>
      <c r="B111" s="24"/>
      <c r="D111" s="59"/>
      <c r="E111" s="59"/>
      <c r="F111" s="24"/>
      <c r="G111" s="61"/>
      <c r="H111" s="61"/>
      <c r="I111" s="24"/>
      <c r="J111" s="24"/>
      <c r="K111" s="24"/>
      <c r="L111" s="24"/>
      <c r="M111" s="24"/>
    </row>
    <row r="112" ht="15.75" customHeight="1">
      <c r="A112" s="24"/>
      <c r="B112" s="24"/>
      <c r="D112" s="59"/>
      <c r="E112" s="59"/>
      <c r="F112" s="24"/>
      <c r="G112" s="61"/>
      <c r="H112" s="61"/>
      <c r="I112" s="24"/>
      <c r="J112" s="24"/>
      <c r="K112" s="24"/>
      <c r="L112" s="24"/>
      <c r="M112" s="24"/>
    </row>
    <row r="113" ht="15.75" customHeight="1">
      <c r="A113" s="24"/>
      <c r="B113" s="24"/>
      <c r="D113" s="59"/>
      <c r="E113" s="59"/>
      <c r="F113" s="24"/>
      <c r="G113" s="61"/>
      <c r="H113" s="61"/>
      <c r="I113" s="24"/>
      <c r="J113" s="24"/>
      <c r="K113" s="24"/>
      <c r="L113" s="24"/>
      <c r="M113" s="24"/>
    </row>
    <row r="114" ht="15.75" customHeight="1">
      <c r="A114" s="24"/>
      <c r="B114" s="24"/>
      <c r="D114" s="59"/>
      <c r="E114" s="59"/>
      <c r="F114" s="24"/>
      <c r="G114" s="61"/>
      <c r="H114" s="61"/>
      <c r="I114" s="24"/>
      <c r="J114" s="24"/>
      <c r="K114" s="24"/>
      <c r="L114" s="24"/>
      <c r="M114" s="24"/>
    </row>
    <row r="115" ht="15.75" customHeight="1">
      <c r="A115" s="24"/>
      <c r="B115" s="24"/>
      <c r="D115" s="59"/>
      <c r="E115" s="59"/>
      <c r="F115" s="24"/>
      <c r="G115" s="61"/>
      <c r="H115" s="61"/>
      <c r="I115" s="24"/>
      <c r="J115" s="24"/>
      <c r="K115" s="24"/>
      <c r="L115" s="24"/>
      <c r="M115" s="24"/>
    </row>
    <row r="116" ht="15.75" customHeight="1">
      <c r="A116" s="24"/>
      <c r="B116" s="24"/>
      <c r="D116" s="59"/>
      <c r="E116" s="59"/>
      <c r="F116" s="24"/>
      <c r="G116" s="61"/>
      <c r="H116" s="61"/>
      <c r="I116" s="24"/>
      <c r="J116" s="24"/>
      <c r="K116" s="24"/>
      <c r="L116" s="24"/>
      <c r="M116" s="24"/>
    </row>
    <row r="117" ht="15.75" customHeight="1">
      <c r="A117" s="24"/>
      <c r="B117" s="24"/>
      <c r="D117" s="59"/>
      <c r="E117" s="59"/>
      <c r="F117" s="24"/>
      <c r="G117" s="61"/>
      <c r="H117" s="61"/>
      <c r="I117" s="24"/>
      <c r="J117" s="24"/>
      <c r="K117" s="24"/>
      <c r="L117" s="24"/>
      <c r="M117" s="24"/>
    </row>
    <row r="118" ht="15.75" customHeight="1">
      <c r="A118" s="24"/>
      <c r="B118" s="24"/>
      <c r="D118" s="59"/>
      <c r="E118" s="59"/>
      <c r="F118" s="24"/>
      <c r="G118" s="61"/>
      <c r="H118" s="61"/>
      <c r="I118" s="24"/>
      <c r="J118" s="24"/>
      <c r="K118" s="24"/>
      <c r="L118" s="24"/>
      <c r="M118" s="24"/>
    </row>
    <row r="119" ht="15.75" customHeight="1">
      <c r="A119" s="24"/>
      <c r="B119" s="24"/>
      <c r="D119" s="59"/>
      <c r="E119" s="59"/>
      <c r="F119" s="24"/>
      <c r="G119" s="61"/>
      <c r="H119" s="61"/>
      <c r="I119" s="24"/>
      <c r="J119" s="24"/>
      <c r="K119" s="24"/>
      <c r="L119" s="24"/>
      <c r="M119" s="24"/>
    </row>
    <row r="120" ht="15.75" customHeight="1">
      <c r="A120" s="24"/>
      <c r="B120" s="24"/>
      <c r="D120" s="59"/>
      <c r="E120" s="59"/>
      <c r="F120" s="24"/>
      <c r="G120" s="61"/>
      <c r="H120" s="61"/>
      <c r="I120" s="24"/>
      <c r="J120" s="24"/>
      <c r="K120" s="24"/>
      <c r="L120" s="24"/>
      <c r="M120" s="24"/>
    </row>
    <row r="121" ht="15.75" customHeight="1">
      <c r="A121" s="24"/>
      <c r="B121" s="24"/>
      <c r="D121" s="59"/>
      <c r="E121" s="59"/>
      <c r="F121" s="24"/>
      <c r="G121" s="61"/>
      <c r="H121" s="61"/>
      <c r="I121" s="24"/>
      <c r="J121" s="24"/>
      <c r="K121" s="24"/>
      <c r="L121" s="24"/>
      <c r="M121" s="24"/>
    </row>
    <row r="122" ht="15.75" customHeight="1">
      <c r="A122" s="24"/>
      <c r="B122" s="24"/>
      <c r="D122" s="59"/>
      <c r="E122" s="59"/>
      <c r="F122" s="24"/>
      <c r="G122" s="61"/>
      <c r="H122" s="61"/>
      <c r="I122" s="24"/>
      <c r="J122" s="24"/>
      <c r="K122" s="24"/>
      <c r="L122" s="24"/>
      <c r="M122" s="24"/>
    </row>
    <row r="123" ht="15.75" customHeight="1">
      <c r="A123" s="24"/>
      <c r="B123" s="24"/>
      <c r="D123" s="59"/>
      <c r="E123" s="59"/>
      <c r="F123" s="24"/>
      <c r="G123" s="61"/>
      <c r="H123" s="61"/>
      <c r="I123" s="24"/>
      <c r="J123" s="24"/>
      <c r="K123" s="24"/>
      <c r="L123" s="24"/>
      <c r="M123" s="24"/>
    </row>
    <row r="124" ht="15.75" customHeight="1">
      <c r="A124" s="24"/>
      <c r="B124" s="24"/>
      <c r="D124" s="59"/>
      <c r="E124" s="59"/>
      <c r="F124" s="24"/>
      <c r="G124" s="61"/>
      <c r="H124" s="61"/>
      <c r="I124" s="24"/>
      <c r="J124" s="24"/>
      <c r="K124" s="24"/>
      <c r="L124" s="24"/>
      <c r="M124" s="24"/>
    </row>
    <row r="125" ht="15.75" customHeight="1">
      <c r="A125" s="24"/>
      <c r="B125" s="24"/>
      <c r="D125" s="59"/>
      <c r="E125" s="59"/>
      <c r="F125" s="24"/>
      <c r="G125" s="61"/>
      <c r="H125" s="61"/>
      <c r="I125" s="24"/>
      <c r="J125" s="24"/>
      <c r="K125" s="24"/>
      <c r="L125" s="24"/>
      <c r="M125" s="24"/>
    </row>
    <row r="126" ht="15.75" customHeight="1">
      <c r="A126" s="24"/>
      <c r="B126" s="24"/>
      <c r="D126" s="59"/>
      <c r="E126" s="59"/>
      <c r="F126" s="24"/>
      <c r="G126" s="61"/>
      <c r="H126" s="61"/>
      <c r="I126" s="24"/>
      <c r="J126" s="24"/>
      <c r="K126" s="24"/>
      <c r="L126" s="24"/>
      <c r="M126" s="24"/>
    </row>
    <row r="127" ht="15.75" customHeight="1">
      <c r="A127" s="24"/>
      <c r="B127" s="24"/>
      <c r="D127" s="59"/>
      <c r="E127" s="59"/>
      <c r="F127" s="24"/>
      <c r="G127" s="61"/>
      <c r="H127" s="61"/>
      <c r="I127" s="24"/>
      <c r="J127" s="24"/>
      <c r="K127" s="24"/>
      <c r="L127" s="24"/>
      <c r="M127" s="24"/>
    </row>
    <row r="128" ht="15.75" customHeight="1">
      <c r="A128" s="24"/>
      <c r="B128" s="24"/>
      <c r="D128" s="59"/>
      <c r="E128" s="59"/>
      <c r="F128" s="24"/>
      <c r="G128" s="61"/>
      <c r="H128" s="61"/>
      <c r="I128" s="24"/>
      <c r="J128" s="24"/>
      <c r="K128" s="24"/>
      <c r="L128" s="24"/>
      <c r="M128" s="24"/>
    </row>
    <row r="129" ht="15.75" customHeight="1">
      <c r="A129" s="24"/>
      <c r="B129" s="24"/>
      <c r="D129" s="59"/>
      <c r="E129" s="59"/>
      <c r="F129" s="24"/>
      <c r="G129" s="61"/>
      <c r="H129" s="61"/>
      <c r="I129" s="24"/>
      <c r="J129" s="24"/>
      <c r="K129" s="24"/>
      <c r="L129" s="24"/>
      <c r="M129" s="24"/>
    </row>
    <row r="130" ht="15.75" customHeight="1">
      <c r="A130" s="24"/>
      <c r="B130" s="24"/>
      <c r="D130" s="59"/>
      <c r="E130" s="59"/>
      <c r="F130" s="24"/>
      <c r="G130" s="61"/>
      <c r="H130" s="61"/>
      <c r="I130" s="24"/>
      <c r="J130" s="24"/>
      <c r="K130" s="24"/>
      <c r="L130" s="24"/>
      <c r="M130" s="24"/>
    </row>
    <row r="131" ht="15.75" customHeight="1">
      <c r="A131" s="24"/>
      <c r="B131" s="24"/>
      <c r="D131" s="59"/>
      <c r="E131" s="59"/>
      <c r="F131" s="24"/>
      <c r="G131" s="61"/>
      <c r="H131" s="61"/>
      <c r="I131" s="24"/>
      <c r="J131" s="24"/>
      <c r="K131" s="24"/>
      <c r="L131" s="24"/>
      <c r="M131" s="24"/>
    </row>
    <row r="132" ht="15.75" customHeight="1">
      <c r="A132" s="24"/>
      <c r="B132" s="24"/>
      <c r="D132" s="59"/>
      <c r="E132" s="59"/>
      <c r="F132" s="24"/>
      <c r="G132" s="61"/>
      <c r="H132" s="61"/>
      <c r="I132" s="24"/>
      <c r="J132" s="24"/>
      <c r="K132" s="24"/>
      <c r="L132" s="24"/>
      <c r="M132" s="24"/>
    </row>
    <row r="133" ht="15.75" customHeight="1">
      <c r="A133" s="24"/>
      <c r="B133" s="24"/>
      <c r="D133" s="59"/>
      <c r="E133" s="59"/>
      <c r="F133" s="24"/>
      <c r="G133" s="61"/>
      <c r="H133" s="61"/>
      <c r="I133" s="24"/>
      <c r="J133" s="24"/>
      <c r="K133" s="24"/>
      <c r="L133" s="24"/>
      <c r="M133" s="24"/>
    </row>
    <row r="134" ht="15.75" customHeight="1">
      <c r="A134" s="24"/>
      <c r="B134" s="24"/>
      <c r="D134" s="59"/>
      <c r="E134" s="59"/>
      <c r="F134" s="24"/>
      <c r="G134" s="61"/>
      <c r="H134" s="61"/>
      <c r="I134" s="24"/>
      <c r="J134" s="24"/>
      <c r="K134" s="24"/>
      <c r="L134" s="24"/>
      <c r="M134" s="24"/>
    </row>
    <row r="135" ht="15.75" customHeight="1">
      <c r="A135" s="24"/>
      <c r="B135" s="24"/>
      <c r="D135" s="59"/>
      <c r="E135" s="59"/>
      <c r="F135" s="24"/>
      <c r="G135" s="61"/>
      <c r="H135" s="61"/>
      <c r="I135" s="24"/>
      <c r="J135" s="24"/>
      <c r="K135" s="24"/>
      <c r="L135" s="24"/>
      <c r="M135" s="24"/>
    </row>
    <row r="136" ht="15.75" customHeight="1">
      <c r="A136" s="24"/>
      <c r="B136" s="24"/>
      <c r="D136" s="59"/>
      <c r="E136" s="59"/>
      <c r="F136" s="24"/>
      <c r="G136" s="61"/>
      <c r="H136" s="61"/>
      <c r="I136" s="24"/>
      <c r="J136" s="24"/>
      <c r="K136" s="24"/>
      <c r="L136" s="24"/>
      <c r="M136" s="24"/>
    </row>
    <row r="137" ht="15.75" customHeight="1">
      <c r="A137" s="24"/>
      <c r="B137" s="24"/>
      <c r="D137" s="59"/>
      <c r="E137" s="59"/>
      <c r="F137" s="24"/>
      <c r="G137" s="61"/>
      <c r="H137" s="61"/>
      <c r="I137" s="24"/>
      <c r="J137" s="24"/>
      <c r="K137" s="24"/>
      <c r="L137" s="24"/>
      <c r="M137" s="24"/>
    </row>
    <row r="138" ht="15.75" customHeight="1">
      <c r="A138" s="24"/>
      <c r="B138" s="24"/>
      <c r="D138" s="59"/>
      <c r="E138" s="59"/>
      <c r="F138" s="24"/>
      <c r="G138" s="61"/>
      <c r="H138" s="61"/>
      <c r="I138" s="24"/>
      <c r="J138" s="24"/>
      <c r="K138" s="24"/>
      <c r="L138" s="24"/>
      <c r="M138" s="24"/>
    </row>
    <row r="139" ht="15.75" customHeight="1">
      <c r="A139" s="24"/>
      <c r="B139" s="24"/>
      <c r="D139" s="59"/>
      <c r="E139" s="59"/>
      <c r="F139" s="24"/>
      <c r="G139" s="61"/>
      <c r="H139" s="61"/>
      <c r="I139" s="24"/>
      <c r="J139" s="24"/>
      <c r="K139" s="24"/>
      <c r="L139" s="24"/>
      <c r="M139" s="24"/>
    </row>
    <row r="140" ht="15.75" customHeight="1">
      <c r="A140" s="24"/>
      <c r="B140" s="24"/>
      <c r="D140" s="59"/>
      <c r="E140" s="59"/>
      <c r="F140" s="24"/>
      <c r="G140" s="61"/>
      <c r="H140" s="61"/>
      <c r="I140" s="24"/>
      <c r="J140" s="24"/>
      <c r="K140" s="24"/>
      <c r="L140" s="24"/>
      <c r="M140" s="24"/>
    </row>
    <row r="141" ht="15.75" customHeight="1">
      <c r="A141" s="24"/>
      <c r="B141" s="24"/>
      <c r="D141" s="59"/>
      <c r="E141" s="59"/>
      <c r="F141" s="24"/>
      <c r="G141" s="61"/>
      <c r="H141" s="61"/>
      <c r="I141" s="24"/>
      <c r="J141" s="24"/>
      <c r="K141" s="24"/>
      <c r="L141" s="24"/>
      <c r="M141" s="24"/>
    </row>
    <row r="142" ht="15.75" customHeight="1">
      <c r="A142" s="24"/>
      <c r="B142" s="24"/>
      <c r="D142" s="59"/>
      <c r="E142" s="59"/>
      <c r="F142" s="24"/>
      <c r="G142" s="61"/>
      <c r="H142" s="61"/>
      <c r="I142" s="24"/>
      <c r="J142" s="24"/>
      <c r="K142" s="24"/>
      <c r="L142" s="24"/>
      <c r="M142" s="24"/>
    </row>
    <row r="143" ht="15.75" customHeight="1">
      <c r="A143" s="24"/>
      <c r="B143" s="24"/>
      <c r="D143" s="59"/>
      <c r="E143" s="59"/>
      <c r="F143" s="24"/>
      <c r="G143" s="61"/>
      <c r="H143" s="61"/>
      <c r="I143" s="24"/>
      <c r="J143" s="24"/>
      <c r="K143" s="24"/>
      <c r="L143" s="24"/>
      <c r="M143" s="24"/>
    </row>
    <row r="144" ht="15.75" customHeight="1">
      <c r="A144" s="24"/>
      <c r="B144" s="24"/>
      <c r="D144" s="59"/>
      <c r="E144" s="59"/>
      <c r="F144" s="24"/>
      <c r="G144" s="61"/>
      <c r="H144" s="61"/>
      <c r="I144" s="24"/>
      <c r="J144" s="24"/>
      <c r="K144" s="24"/>
      <c r="L144" s="24"/>
      <c r="M144" s="24"/>
    </row>
    <row r="145" ht="15.75" customHeight="1">
      <c r="A145" s="24"/>
      <c r="B145" s="24"/>
      <c r="D145" s="59"/>
      <c r="E145" s="59"/>
      <c r="F145" s="24"/>
      <c r="G145" s="61"/>
      <c r="H145" s="61"/>
      <c r="I145" s="24"/>
      <c r="J145" s="24"/>
      <c r="K145" s="24"/>
      <c r="L145" s="24"/>
      <c r="M145" s="24"/>
    </row>
    <row r="146" ht="15.75" customHeight="1">
      <c r="A146" s="24"/>
      <c r="B146" s="24"/>
      <c r="D146" s="59"/>
      <c r="E146" s="59"/>
      <c r="F146" s="24"/>
      <c r="G146" s="61"/>
      <c r="H146" s="61"/>
      <c r="I146" s="24"/>
      <c r="J146" s="24"/>
      <c r="K146" s="24"/>
      <c r="L146" s="24"/>
      <c r="M146" s="24"/>
    </row>
    <row r="147" ht="15.75" customHeight="1">
      <c r="A147" s="24"/>
      <c r="B147" s="24"/>
      <c r="D147" s="59"/>
      <c r="E147" s="59"/>
      <c r="F147" s="24"/>
      <c r="G147" s="61"/>
      <c r="H147" s="61"/>
      <c r="I147" s="24"/>
      <c r="J147" s="24"/>
      <c r="K147" s="24"/>
      <c r="L147" s="24"/>
      <c r="M147" s="24"/>
    </row>
    <row r="148" ht="15.75" customHeight="1">
      <c r="A148" s="24"/>
      <c r="B148" s="24"/>
      <c r="D148" s="59"/>
      <c r="E148" s="59"/>
      <c r="F148" s="24"/>
      <c r="G148" s="61"/>
      <c r="H148" s="61"/>
      <c r="I148" s="24"/>
      <c r="J148" s="24"/>
      <c r="K148" s="24"/>
      <c r="L148" s="24"/>
      <c r="M148" s="24"/>
    </row>
    <row r="149" ht="15.75" customHeight="1">
      <c r="A149" s="24"/>
      <c r="B149" s="24"/>
      <c r="D149" s="59"/>
      <c r="E149" s="59"/>
      <c r="F149" s="24"/>
      <c r="G149" s="61"/>
      <c r="H149" s="61"/>
      <c r="I149" s="24"/>
      <c r="J149" s="24"/>
      <c r="K149" s="24"/>
      <c r="L149" s="24"/>
      <c r="M149" s="24"/>
    </row>
    <row r="150" ht="15.75" customHeight="1">
      <c r="A150" s="24"/>
      <c r="B150" s="24"/>
      <c r="D150" s="59"/>
      <c r="E150" s="59"/>
      <c r="F150" s="24"/>
      <c r="G150" s="61"/>
      <c r="H150" s="61"/>
      <c r="I150" s="24"/>
      <c r="J150" s="24"/>
      <c r="K150" s="24"/>
      <c r="L150" s="24"/>
      <c r="M150" s="24"/>
    </row>
    <row r="151" ht="15.75" customHeight="1">
      <c r="A151" s="24"/>
      <c r="B151" s="24"/>
      <c r="D151" s="59"/>
      <c r="E151" s="59"/>
      <c r="F151" s="24"/>
      <c r="G151" s="61"/>
      <c r="H151" s="61"/>
      <c r="I151" s="24"/>
      <c r="J151" s="24"/>
      <c r="K151" s="24"/>
      <c r="L151" s="24"/>
      <c r="M151" s="24"/>
    </row>
    <row r="152" ht="15.75" customHeight="1">
      <c r="A152" s="24"/>
      <c r="B152" s="24"/>
      <c r="D152" s="59"/>
      <c r="E152" s="59"/>
      <c r="F152" s="24"/>
      <c r="G152" s="61"/>
      <c r="H152" s="61"/>
      <c r="I152" s="24"/>
      <c r="J152" s="24"/>
      <c r="K152" s="24"/>
      <c r="L152" s="24"/>
      <c r="M152" s="24"/>
    </row>
    <row r="153" ht="15.75" customHeight="1">
      <c r="A153" s="24"/>
      <c r="B153" s="24"/>
      <c r="D153" s="59"/>
      <c r="E153" s="59"/>
      <c r="F153" s="24"/>
      <c r="G153" s="61"/>
      <c r="H153" s="61"/>
      <c r="I153" s="24"/>
      <c r="J153" s="24"/>
      <c r="K153" s="24"/>
      <c r="L153" s="24"/>
      <c r="M153" s="24"/>
    </row>
    <row r="154" ht="15.75" customHeight="1">
      <c r="A154" s="24"/>
      <c r="B154" s="24"/>
      <c r="D154" s="59"/>
      <c r="E154" s="59"/>
      <c r="F154" s="24"/>
      <c r="G154" s="61"/>
      <c r="H154" s="61"/>
      <c r="I154" s="24"/>
      <c r="J154" s="24"/>
      <c r="K154" s="24"/>
      <c r="L154" s="24"/>
      <c r="M154" s="24"/>
    </row>
    <row r="155" ht="15.75" customHeight="1">
      <c r="A155" s="24"/>
      <c r="B155" s="24"/>
      <c r="D155" s="59"/>
      <c r="E155" s="59"/>
      <c r="F155" s="24"/>
      <c r="G155" s="61"/>
      <c r="H155" s="61"/>
      <c r="I155" s="24"/>
      <c r="J155" s="24"/>
      <c r="K155" s="24"/>
      <c r="L155" s="24"/>
      <c r="M155" s="24"/>
    </row>
    <row r="156" ht="15.75" customHeight="1">
      <c r="A156" s="24"/>
      <c r="B156" s="24"/>
      <c r="D156" s="59"/>
      <c r="E156" s="59"/>
      <c r="F156" s="24"/>
      <c r="G156" s="61"/>
      <c r="H156" s="61"/>
      <c r="I156" s="24"/>
      <c r="J156" s="24"/>
      <c r="K156" s="24"/>
      <c r="L156" s="24"/>
      <c r="M156" s="24"/>
    </row>
    <row r="157" ht="15.75" customHeight="1">
      <c r="A157" s="24"/>
      <c r="B157" s="24"/>
      <c r="D157" s="59"/>
      <c r="E157" s="59"/>
      <c r="F157" s="24"/>
      <c r="G157" s="61"/>
      <c r="H157" s="61"/>
      <c r="I157" s="24"/>
      <c r="J157" s="24"/>
      <c r="K157" s="24"/>
      <c r="L157" s="24"/>
      <c r="M157" s="24"/>
    </row>
    <row r="158" ht="15.75" customHeight="1">
      <c r="A158" s="24"/>
      <c r="B158" s="24"/>
      <c r="D158" s="59"/>
      <c r="E158" s="59"/>
      <c r="F158" s="24"/>
      <c r="G158" s="61"/>
      <c r="H158" s="61"/>
      <c r="I158" s="24"/>
      <c r="J158" s="24"/>
      <c r="K158" s="24"/>
      <c r="L158" s="24"/>
      <c r="M158" s="24"/>
    </row>
    <row r="159" ht="15.75" customHeight="1">
      <c r="A159" s="24"/>
      <c r="B159" s="24"/>
      <c r="D159" s="59"/>
      <c r="E159" s="59"/>
      <c r="F159" s="24"/>
      <c r="G159" s="61"/>
      <c r="H159" s="61"/>
      <c r="I159" s="24"/>
      <c r="J159" s="24"/>
      <c r="K159" s="24"/>
      <c r="L159" s="24"/>
      <c r="M159" s="24"/>
    </row>
    <row r="160" ht="15.75" customHeight="1">
      <c r="A160" s="24"/>
      <c r="B160" s="24"/>
      <c r="D160" s="59"/>
      <c r="E160" s="59"/>
      <c r="F160" s="24"/>
      <c r="G160" s="61"/>
      <c r="H160" s="61"/>
      <c r="I160" s="24"/>
      <c r="J160" s="24"/>
      <c r="K160" s="24"/>
      <c r="L160" s="24"/>
      <c r="M160" s="24"/>
    </row>
    <row r="161" ht="15.75" customHeight="1">
      <c r="A161" s="24"/>
      <c r="B161" s="24"/>
      <c r="D161" s="59"/>
      <c r="E161" s="59"/>
      <c r="F161" s="24"/>
      <c r="G161" s="61"/>
      <c r="H161" s="61"/>
      <c r="I161" s="24"/>
      <c r="J161" s="24"/>
      <c r="K161" s="24"/>
      <c r="L161" s="24"/>
      <c r="M161" s="24"/>
    </row>
    <row r="162" ht="15.75" customHeight="1">
      <c r="A162" s="24"/>
      <c r="B162" s="24"/>
      <c r="D162" s="59"/>
      <c r="E162" s="59"/>
      <c r="F162" s="24"/>
      <c r="G162" s="61"/>
      <c r="H162" s="61"/>
      <c r="I162" s="24"/>
      <c r="J162" s="24"/>
      <c r="K162" s="24"/>
      <c r="L162" s="24"/>
      <c r="M162" s="24"/>
    </row>
    <row r="163" ht="15.75" customHeight="1">
      <c r="A163" s="24"/>
      <c r="B163" s="24"/>
      <c r="D163" s="59"/>
      <c r="E163" s="59"/>
      <c r="F163" s="24"/>
      <c r="G163" s="61"/>
      <c r="H163" s="61"/>
      <c r="I163" s="24"/>
      <c r="J163" s="24"/>
      <c r="K163" s="24"/>
      <c r="L163" s="24"/>
      <c r="M163" s="24"/>
    </row>
    <row r="164" ht="15.75" customHeight="1">
      <c r="A164" s="24"/>
      <c r="B164" s="24"/>
      <c r="D164" s="59"/>
      <c r="E164" s="59"/>
      <c r="F164" s="24"/>
      <c r="G164" s="61"/>
      <c r="H164" s="61"/>
      <c r="I164" s="24"/>
      <c r="J164" s="24"/>
      <c r="K164" s="24"/>
      <c r="L164" s="24"/>
      <c r="M164" s="24"/>
    </row>
    <row r="165" ht="15.75" customHeight="1">
      <c r="A165" s="24"/>
      <c r="B165" s="24"/>
      <c r="D165" s="59"/>
      <c r="E165" s="59"/>
      <c r="F165" s="24"/>
      <c r="G165" s="61"/>
      <c r="H165" s="61"/>
      <c r="I165" s="24"/>
      <c r="J165" s="24"/>
      <c r="K165" s="24"/>
      <c r="L165" s="24"/>
      <c r="M165" s="24"/>
    </row>
    <row r="166" ht="15.75" customHeight="1">
      <c r="A166" s="24"/>
      <c r="B166" s="24"/>
      <c r="D166" s="59"/>
      <c r="E166" s="59"/>
      <c r="F166" s="24"/>
      <c r="G166" s="61"/>
      <c r="H166" s="61"/>
      <c r="I166" s="24"/>
      <c r="J166" s="24"/>
      <c r="K166" s="24"/>
      <c r="L166" s="24"/>
      <c r="M166" s="24"/>
    </row>
    <row r="167" ht="15.75" customHeight="1">
      <c r="A167" s="24"/>
      <c r="B167" s="24"/>
      <c r="D167" s="59"/>
      <c r="E167" s="59"/>
      <c r="F167" s="24"/>
      <c r="G167" s="61"/>
      <c r="H167" s="61"/>
      <c r="I167" s="24"/>
      <c r="J167" s="24"/>
      <c r="K167" s="24"/>
      <c r="L167" s="24"/>
      <c r="M167" s="24"/>
    </row>
    <row r="168" ht="15.75" customHeight="1">
      <c r="A168" s="24"/>
      <c r="B168" s="24"/>
      <c r="D168" s="59"/>
      <c r="E168" s="59"/>
      <c r="F168" s="24"/>
      <c r="G168" s="61"/>
      <c r="H168" s="61"/>
      <c r="I168" s="24"/>
      <c r="J168" s="24"/>
      <c r="K168" s="24"/>
      <c r="L168" s="24"/>
      <c r="M168" s="24"/>
    </row>
    <row r="169" ht="15.75" customHeight="1">
      <c r="A169" s="24"/>
      <c r="B169" s="24"/>
      <c r="D169" s="59"/>
      <c r="E169" s="59"/>
      <c r="F169" s="24"/>
      <c r="G169" s="61"/>
      <c r="H169" s="61"/>
      <c r="I169" s="24"/>
      <c r="J169" s="24"/>
      <c r="K169" s="24"/>
      <c r="L169" s="24"/>
      <c r="M169" s="24"/>
    </row>
    <row r="170" ht="15.75" customHeight="1">
      <c r="A170" s="24"/>
      <c r="B170" s="24"/>
      <c r="D170" s="59"/>
      <c r="E170" s="59"/>
      <c r="F170" s="24"/>
      <c r="G170" s="61"/>
      <c r="H170" s="61"/>
      <c r="I170" s="24"/>
      <c r="J170" s="24"/>
      <c r="K170" s="24"/>
      <c r="L170" s="24"/>
      <c r="M170" s="24"/>
    </row>
    <row r="171" ht="15.75" customHeight="1">
      <c r="A171" s="24"/>
      <c r="B171" s="24"/>
      <c r="D171" s="59"/>
      <c r="E171" s="59"/>
      <c r="F171" s="24"/>
      <c r="G171" s="61"/>
      <c r="H171" s="61"/>
      <c r="I171" s="24"/>
      <c r="J171" s="24"/>
      <c r="K171" s="24"/>
      <c r="L171" s="24"/>
      <c r="M171" s="24"/>
    </row>
    <row r="172" ht="15.75" customHeight="1">
      <c r="A172" s="24"/>
      <c r="B172" s="24"/>
      <c r="D172" s="59"/>
      <c r="E172" s="59"/>
      <c r="F172" s="24"/>
      <c r="G172" s="61"/>
      <c r="H172" s="61"/>
      <c r="I172" s="24"/>
      <c r="J172" s="24"/>
      <c r="K172" s="24"/>
      <c r="L172" s="24"/>
      <c r="M172" s="24"/>
    </row>
    <row r="173" ht="15.75" customHeight="1">
      <c r="A173" s="24"/>
      <c r="B173" s="24"/>
      <c r="D173" s="59"/>
      <c r="E173" s="59"/>
      <c r="F173" s="24"/>
      <c r="G173" s="61"/>
      <c r="H173" s="61"/>
      <c r="I173" s="24"/>
      <c r="J173" s="24"/>
      <c r="K173" s="24"/>
      <c r="L173" s="24"/>
      <c r="M173" s="24"/>
    </row>
    <row r="174" ht="15.75" customHeight="1">
      <c r="A174" s="24"/>
      <c r="B174" s="24"/>
      <c r="D174" s="59"/>
      <c r="E174" s="59"/>
      <c r="F174" s="24"/>
      <c r="G174" s="61"/>
      <c r="H174" s="61"/>
      <c r="I174" s="24"/>
      <c r="J174" s="24"/>
      <c r="K174" s="24"/>
      <c r="L174" s="24"/>
      <c r="M174" s="24"/>
    </row>
    <row r="175" ht="15.75" customHeight="1">
      <c r="A175" s="24"/>
      <c r="B175" s="24"/>
      <c r="D175" s="59"/>
      <c r="E175" s="59"/>
      <c r="F175" s="24"/>
      <c r="G175" s="61"/>
      <c r="H175" s="61"/>
      <c r="I175" s="24"/>
      <c r="J175" s="24"/>
      <c r="K175" s="24"/>
      <c r="L175" s="24"/>
      <c r="M175" s="24"/>
    </row>
    <row r="176" ht="15.75" customHeight="1">
      <c r="A176" s="24"/>
      <c r="B176" s="24"/>
      <c r="D176" s="59"/>
      <c r="E176" s="59"/>
      <c r="F176" s="24"/>
      <c r="G176" s="61"/>
      <c r="H176" s="61"/>
      <c r="I176" s="24"/>
      <c r="J176" s="24"/>
      <c r="K176" s="24"/>
      <c r="L176" s="24"/>
      <c r="M176" s="24"/>
    </row>
    <row r="177" ht="15.75" customHeight="1">
      <c r="A177" s="24"/>
      <c r="B177" s="24"/>
      <c r="D177" s="59"/>
      <c r="E177" s="59"/>
      <c r="F177" s="24"/>
      <c r="G177" s="61"/>
      <c r="H177" s="61"/>
      <c r="I177" s="24"/>
      <c r="J177" s="24"/>
      <c r="K177" s="24"/>
      <c r="L177" s="24"/>
      <c r="M177" s="24"/>
    </row>
    <row r="178" ht="15.75" customHeight="1">
      <c r="A178" s="24"/>
      <c r="B178" s="24"/>
      <c r="D178" s="59"/>
      <c r="E178" s="59"/>
      <c r="F178" s="24"/>
      <c r="G178" s="61"/>
      <c r="H178" s="61"/>
      <c r="I178" s="24"/>
      <c r="J178" s="24"/>
      <c r="K178" s="24"/>
      <c r="L178" s="24"/>
      <c r="M178" s="24"/>
    </row>
    <row r="179" ht="15.75" customHeight="1">
      <c r="A179" s="24"/>
      <c r="B179" s="24"/>
      <c r="D179" s="59"/>
      <c r="E179" s="59"/>
      <c r="F179" s="24"/>
      <c r="G179" s="61"/>
      <c r="H179" s="61"/>
      <c r="I179" s="24"/>
      <c r="J179" s="24"/>
      <c r="K179" s="24"/>
      <c r="L179" s="24"/>
      <c r="M179" s="24"/>
    </row>
    <row r="180" ht="15.75" customHeight="1">
      <c r="A180" s="24"/>
      <c r="B180" s="24"/>
      <c r="D180" s="59"/>
      <c r="E180" s="59"/>
      <c r="F180" s="24"/>
      <c r="G180" s="61"/>
      <c r="H180" s="61"/>
      <c r="I180" s="24"/>
      <c r="J180" s="24"/>
      <c r="K180" s="24"/>
      <c r="L180" s="24"/>
      <c r="M180" s="24"/>
    </row>
    <row r="181" ht="15.75" customHeight="1">
      <c r="A181" s="24"/>
      <c r="B181" s="24"/>
      <c r="D181" s="59"/>
      <c r="E181" s="59"/>
      <c r="F181" s="24"/>
      <c r="G181" s="61"/>
      <c r="H181" s="61"/>
      <c r="I181" s="24"/>
      <c r="J181" s="24"/>
      <c r="K181" s="24"/>
      <c r="L181" s="24"/>
      <c r="M181" s="24"/>
    </row>
    <row r="182" ht="15.75" customHeight="1">
      <c r="A182" s="24"/>
      <c r="B182" s="24"/>
      <c r="D182" s="59"/>
      <c r="E182" s="59"/>
      <c r="F182" s="24"/>
      <c r="G182" s="61"/>
      <c r="H182" s="61"/>
      <c r="I182" s="24"/>
      <c r="J182" s="24"/>
      <c r="K182" s="24"/>
      <c r="L182" s="24"/>
      <c r="M182" s="24"/>
    </row>
    <row r="183" ht="15.75" customHeight="1">
      <c r="A183" s="24"/>
      <c r="B183" s="24"/>
      <c r="D183" s="59"/>
      <c r="E183" s="59"/>
      <c r="F183" s="24"/>
      <c r="G183" s="61"/>
      <c r="H183" s="61"/>
      <c r="I183" s="24"/>
      <c r="J183" s="24"/>
      <c r="K183" s="24"/>
      <c r="L183" s="24"/>
      <c r="M183" s="24"/>
    </row>
    <row r="184" ht="15.75" customHeight="1">
      <c r="A184" s="24"/>
      <c r="B184" s="24"/>
      <c r="D184" s="59"/>
      <c r="E184" s="59"/>
      <c r="F184" s="24"/>
      <c r="G184" s="61"/>
      <c r="H184" s="61"/>
      <c r="I184" s="24"/>
      <c r="J184" s="24"/>
      <c r="K184" s="24"/>
      <c r="L184" s="24"/>
      <c r="M184" s="24"/>
    </row>
    <row r="185" ht="15.75" customHeight="1">
      <c r="A185" s="24"/>
      <c r="B185" s="24"/>
      <c r="D185" s="59"/>
      <c r="E185" s="59"/>
      <c r="F185" s="24"/>
      <c r="G185" s="61"/>
      <c r="H185" s="61"/>
      <c r="I185" s="24"/>
      <c r="J185" s="24"/>
      <c r="K185" s="24"/>
      <c r="L185" s="24"/>
      <c r="M185" s="24"/>
    </row>
    <row r="186" ht="15.75" customHeight="1">
      <c r="A186" s="24"/>
      <c r="B186" s="24"/>
      <c r="D186" s="59"/>
      <c r="E186" s="59"/>
      <c r="F186" s="24"/>
      <c r="G186" s="61"/>
      <c r="H186" s="61"/>
      <c r="I186" s="24"/>
      <c r="J186" s="24"/>
      <c r="K186" s="24"/>
      <c r="L186" s="24"/>
      <c r="M186" s="24"/>
    </row>
    <row r="187" ht="15.75" customHeight="1">
      <c r="A187" s="24"/>
      <c r="B187" s="24"/>
      <c r="D187" s="59"/>
      <c r="E187" s="59"/>
      <c r="F187" s="24"/>
      <c r="G187" s="61"/>
      <c r="H187" s="61"/>
      <c r="I187" s="24"/>
      <c r="J187" s="24"/>
      <c r="K187" s="24"/>
      <c r="L187" s="24"/>
      <c r="M187" s="24"/>
    </row>
    <row r="188" ht="15.75" customHeight="1">
      <c r="A188" s="24"/>
      <c r="B188" s="24"/>
      <c r="D188" s="59"/>
      <c r="E188" s="59"/>
      <c r="F188" s="24"/>
      <c r="G188" s="61"/>
      <c r="H188" s="61"/>
      <c r="I188" s="24"/>
      <c r="J188" s="24"/>
      <c r="K188" s="24"/>
      <c r="L188" s="24"/>
      <c r="M188" s="24"/>
    </row>
    <row r="189" ht="15.75" customHeight="1">
      <c r="A189" s="24"/>
      <c r="B189" s="24"/>
      <c r="D189" s="59"/>
      <c r="E189" s="59"/>
      <c r="F189" s="24"/>
      <c r="G189" s="61"/>
      <c r="H189" s="61"/>
      <c r="I189" s="24"/>
      <c r="J189" s="24"/>
      <c r="K189" s="24"/>
      <c r="L189" s="24"/>
      <c r="M189" s="24"/>
    </row>
    <row r="190" ht="15.75" customHeight="1">
      <c r="A190" s="24"/>
      <c r="B190" s="24"/>
      <c r="D190" s="59"/>
      <c r="E190" s="59"/>
      <c r="F190" s="24"/>
      <c r="G190" s="61"/>
      <c r="H190" s="61"/>
      <c r="I190" s="24"/>
      <c r="J190" s="24"/>
      <c r="K190" s="24"/>
      <c r="L190" s="24"/>
      <c r="M190" s="24"/>
    </row>
    <row r="191" ht="15.75" customHeight="1">
      <c r="A191" s="24"/>
      <c r="B191" s="24"/>
      <c r="D191" s="59"/>
      <c r="E191" s="59"/>
      <c r="F191" s="24"/>
      <c r="G191" s="61"/>
      <c r="H191" s="61"/>
      <c r="I191" s="24"/>
      <c r="J191" s="24"/>
      <c r="K191" s="24"/>
      <c r="L191" s="24"/>
      <c r="M191" s="24"/>
    </row>
    <row r="192" ht="15.75" customHeight="1">
      <c r="A192" s="24"/>
      <c r="B192" s="24"/>
      <c r="D192" s="59"/>
      <c r="E192" s="59"/>
      <c r="F192" s="24"/>
      <c r="G192" s="61"/>
      <c r="H192" s="61"/>
      <c r="I192" s="24"/>
      <c r="J192" s="24"/>
      <c r="K192" s="24"/>
      <c r="L192" s="24"/>
      <c r="M192" s="24"/>
    </row>
    <row r="193" ht="15.75" customHeight="1">
      <c r="A193" s="24"/>
      <c r="B193" s="24"/>
      <c r="D193" s="59"/>
      <c r="E193" s="59"/>
      <c r="F193" s="24"/>
      <c r="G193" s="61"/>
      <c r="H193" s="61"/>
      <c r="I193" s="24"/>
      <c r="J193" s="24"/>
      <c r="K193" s="24"/>
      <c r="L193" s="24"/>
      <c r="M193" s="24"/>
    </row>
    <row r="194" ht="15.75" customHeight="1">
      <c r="A194" s="24"/>
      <c r="B194" s="24"/>
      <c r="D194" s="59"/>
      <c r="E194" s="59"/>
      <c r="F194" s="24"/>
      <c r="G194" s="61"/>
      <c r="H194" s="61"/>
      <c r="I194" s="24"/>
      <c r="J194" s="24"/>
      <c r="K194" s="24"/>
      <c r="L194" s="24"/>
      <c r="M194" s="24"/>
    </row>
    <row r="195" ht="15.75" customHeight="1">
      <c r="A195" s="24"/>
      <c r="B195" s="24"/>
      <c r="D195" s="59"/>
      <c r="E195" s="59"/>
      <c r="F195" s="24"/>
      <c r="G195" s="61"/>
      <c r="H195" s="61"/>
      <c r="I195" s="24"/>
      <c r="J195" s="24"/>
      <c r="K195" s="24"/>
      <c r="L195" s="24"/>
      <c r="M195" s="24"/>
    </row>
    <row r="196" ht="15.75" customHeight="1">
      <c r="A196" s="24"/>
      <c r="B196" s="24"/>
      <c r="D196" s="59"/>
      <c r="E196" s="59"/>
      <c r="F196" s="24"/>
      <c r="G196" s="61"/>
      <c r="H196" s="61"/>
      <c r="I196" s="24"/>
      <c r="J196" s="24"/>
      <c r="K196" s="24"/>
      <c r="L196" s="24"/>
      <c r="M196" s="24"/>
    </row>
    <row r="197" ht="15.75" customHeight="1">
      <c r="A197" s="24"/>
      <c r="B197" s="24"/>
      <c r="D197" s="59"/>
      <c r="E197" s="59"/>
      <c r="F197" s="24"/>
      <c r="G197" s="61"/>
      <c r="H197" s="61"/>
      <c r="I197" s="24"/>
      <c r="J197" s="24"/>
      <c r="K197" s="24"/>
      <c r="L197" s="24"/>
      <c r="M197" s="24"/>
    </row>
    <row r="198" ht="15.75" customHeight="1">
      <c r="A198" s="24"/>
      <c r="B198" s="24"/>
      <c r="D198" s="59"/>
      <c r="E198" s="59"/>
      <c r="F198" s="24"/>
      <c r="G198" s="61"/>
      <c r="H198" s="61"/>
      <c r="I198" s="24"/>
      <c r="J198" s="24"/>
      <c r="K198" s="24"/>
      <c r="L198" s="24"/>
      <c r="M198" s="24"/>
    </row>
    <row r="199" ht="15.75" customHeight="1">
      <c r="A199" s="24"/>
      <c r="B199" s="24"/>
      <c r="D199" s="59"/>
      <c r="E199" s="59"/>
      <c r="F199" s="24"/>
      <c r="G199" s="61"/>
      <c r="H199" s="61"/>
      <c r="I199" s="24"/>
      <c r="J199" s="24"/>
      <c r="K199" s="24"/>
      <c r="L199" s="24"/>
      <c r="M199" s="24"/>
    </row>
    <row r="200" ht="15.75" customHeight="1">
      <c r="A200" s="24"/>
      <c r="B200" s="24"/>
      <c r="D200" s="59"/>
      <c r="E200" s="59"/>
      <c r="F200" s="24"/>
      <c r="G200" s="61"/>
      <c r="H200" s="61"/>
      <c r="I200" s="24"/>
      <c r="J200" s="24"/>
      <c r="K200" s="24"/>
      <c r="L200" s="24"/>
      <c r="M200" s="24"/>
    </row>
    <row r="201" ht="15.75" customHeight="1">
      <c r="A201" s="24"/>
      <c r="B201" s="24"/>
      <c r="D201" s="59"/>
      <c r="E201" s="59"/>
      <c r="F201" s="24"/>
      <c r="G201" s="61"/>
      <c r="H201" s="61"/>
      <c r="I201" s="24"/>
      <c r="J201" s="24"/>
      <c r="K201" s="24"/>
      <c r="L201" s="24"/>
      <c r="M201" s="24"/>
    </row>
    <row r="202" ht="15.75" customHeight="1">
      <c r="A202" s="24"/>
      <c r="B202" s="24"/>
      <c r="D202" s="59"/>
      <c r="E202" s="59"/>
      <c r="F202" s="24"/>
      <c r="G202" s="61"/>
      <c r="H202" s="61"/>
      <c r="I202" s="24"/>
      <c r="J202" s="24"/>
      <c r="K202" s="24"/>
      <c r="L202" s="24"/>
      <c r="M202" s="24"/>
    </row>
    <row r="203" ht="15.75" customHeight="1">
      <c r="A203" s="24"/>
      <c r="B203" s="24"/>
      <c r="D203" s="59"/>
      <c r="E203" s="59"/>
      <c r="F203" s="24"/>
      <c r="G203" s="61"/>
      <c r="H203" s="61"/>
      <c r="I203" s="24"/>
      <c r="J203" s="24"/>
      <c r="K203" s="24"/>
      <c r="L203" s="24"/>
      <c r="M203" s="24"/>
    </row>
    <row r="204" ht="15.75" customHeight="1">
      <c r="A204" s="24"/>
      <c r="B204" s="24"/>
      <c r="D204" s="59"/>
      <c r="E204" s="59"/>
      <c r="F204" s="24"/>
      <c r="G204" s="61"/>
      <c r="H204" s="61"/>
      <c r="I204" s="24"/>
      <c r="J204" s="24"/>
      <c r="K204" s="24"/>
      <c r="L204" s="24"/>
      <c r="M204" s="24"/>
    </row>
    <row r="205" ht="15.75" customHeight="1">
      <c r="A205" s="24"/>
      <c r="B205" s="24"/>
      <c r="D205" s="59"/>
      <c r="E205" s="59"/>
      <c r="F205" s="24"/>
      <c r="G205" s="61"/>
      <c r="H205" s="61"/>
      <c r="I205" s="24"/>
      <c r="J205" s="24"/>
      <c r="K205" s="24"/>
      <c r="L205" s="24"/>
      <c r="M205" s="24"/>
    </row>
    <row r="206" ht="15.75" customHeight="1">
      <c r="A206" s="24"/>
      <c r="B206" s="24"/>
      <c r="D206" s="59"/>
      <c r="E206" s="59"/>
      <c r="F206" s="24"/>
      <c r="G206" s="61"/>
      <c r="H206" s="61"/>
      <c r="I206" s="24"/>
      <c r="J206" s="24"/>
      <c r="K206" s="24"/>
      <c r="L206" s="24"/>
      <c r="M206" s="24"/>
    </row>
    <row r="207" ht="15.75" customHeight="1">
      <c r="A207" s="24"/>
      <c r="B207" s="24"/>
      <c r="D207" s="59"/>
      <c r="E207" s="59"/>
      <c r="F207" s="24"/>
      <c r="G207" s="61"/>
      <c r="H207" s="61"/>
      <c r="I207" s="24"/>
      <c r="J207" s="24"/>
      <c r="K207" s="24"/>
      <c r="L207" s="24"/>
      <c r="M207" s="24"/>
    </row>
    <row r="208" ht="15.75" customHeight="1">
      <c r="A208" s="24"/>
      <c r="B208" s="24"/>
      <c r="D208" s="59"/>
      <c r="E208" s="59"/>
      <c r="F208" s="24"/>
      <c r="G208" s="61"/>
      <c r="H208" s="61"/>
      <c r="I208" s="24"/>
      <c r="J208" s="24"/>
      <c r="K208" s="24"/>
      <c r="L208" s="24"/>
      <c r="M208" s="24"/>
    </row>
    <row r="209" ht="15.75" customHeight="1">
      <c r="A209" s="24"/>
      <c r="B209" s="24"/>
      <c r="D209" s="59"/>
      <c r="E209" s="59"/>
      <c r="F209" s="24"/>
      <c r="G209" s="61"/>
      <c r="H209" s="61"/>
      <c r="I209" s="24"/>
      <c r="J209" s="24"/>
      <c r="K209" s="24"/>
      <c r="L209" s="24"/>
      <c r="M209" s="24"/>
    </row>
    <row r="210" ht="15.75" customHeight="1">
      <c r="A210" s="24"/>
      <c r="B210" s="24"/>
      <c r="D210" s="59"/>
      <c r="E210" s="59"/>
      <c r="F210" s="24"/>
      <c r="G210" s="61"/>
      <c r="H210" s="61"/>
      <c r="I210" s="24"/>
      <c r="J210" s="24"/>
      <c r="K210" s="24"/>
      <c r="L210" s="24"/>
      <c r="M210" s="24"/>
    </row>
    <row r="211" ht="15.75" customHeight="1">
      <c r="A211" s="24"/>
      <c r="B211" s="24"/>
      <c r="D211" s="59"/>
      <c r="E211" s="59"/>
      <c r="F211" s="24"/>
      <c r="G211" s="61"/>
      <c r="H211" s="61"/>
      <c r="I211" s="24"/>
      <c r="J211" s="24"/>
      <c r="K211" s="24"/>
      <c r="L211" s="24"/>
      <c r="M211" s="24"/>
    </row>
    <row r="212" ht="15.75" customHeight="1">
      <c r="A212" s="24"/>
      <c r="B212" s="24"/>
      <c r="D212" s="59"/>
      <c r="E212" s="59"/>
      <c r="F212" s="24"/>
      <c r="G212" s="61"/>
      <c r="H212" s="61"/>
      <c r="I212" s="24"/>
      <c r="J212" s="24"/>
      <c r="K212" s="24"/>
      <c r="L212" s="24"/>
      <c r="M212" s="24"/>
    </row>
    <row r="213" ht="15.75" customHeight="1">
      <c r="A213" s="24"/>
      <c r="B213" s="24"/>
      <c r="D213" s="59"/>
      <c r="E213" s="59"/>
      <c r="F213" s="24"/>
      <c r="G213" s="61"/>
      <c r="H213" s="61"/>
      <c r="I213" s="24"/>
      <c r="J213" s="24"/>
      <c r="K213" s="24"/>
      <c r="L213" s="24"/>
      <c r="M213" s="24"/>
    </row>
    <row r="214" ht="15.75" customHeight="1">
      <c r="A214" s="24"/>
      <c r="B214" s="24"/>
      <c r="D214" s="59"/>
      <c r="E214" s="59"/>
      <c r="F214" s="24"/>
      <c r="G214" s="61"/>
      <c r="H214" s="61"/>
      <c r="I214" s="24"/>
      <c r="J214" s="24"/>
      <c r="K214" s="24"/>
      <c r="L214" s="24"/>
      <c r="M214" s="24"/>
    </row>
    <row r="215" ht="15.75" customHeight="1">
      <c r="A215" s="24"/>
      <c r="B215" s="24"/>
      <c r="D215" s="59"/>
      <c r="E215" s="59"/>
      <c r="F215" s="24"/>
      <c r="G215" s="61"/>
      <c r="H215" s="61"/>
      <c r="I215" s="24"/>
      <c r="J215" s="24"/>
      <c r="K215" s="24"/>
      <c r="L215" s="24"/>
      <c r="M215" s="24"/>
    </row>
    <row r="216" ht="15.75" customHeight="1">
      <c r="A216" s="24"/>
      <c r="B216" s="24"/>
      <c r="D216" s="59"/>
      <c r="E216" s="59"/>
      <c r="F216" s="24"/>
      <c r="G216" s="61"/>
      <c r="H216" s="61"/>
      <c r="I216" s="24"/>
      <c r="J216" s="24"/>
      <c r="K216" s="24"/>
      <c r="L216" s="24"/>
      <c r="M216" s="24"/>
    </row>
    <row r="217" ht="15.75" customHeight="1">
      <c r="A217" s="24"/>
      <c r="B217" s="24"/>
      <c r="D217" s="59"/>
      <c r="E217" s="59"/>
      <c r="F217" s="24"/>
      <c r="G217" s="61"/>
      <c r="H217" s="61"/>
      <c r="I217" s="24"/>
      <c r="J217" s="24"/>
      <c r="K217" s="24"/>
      <c r="L217" s="24"/>
      <c r="M217" s="24"/>
    </row>
    <row r="218" ht="15.75" customHeight="1">
      <c r="A218" s="24"/>
      <c r="B218" s="24"/>
      <c r="D218" s="59"/>
      <c r="E218" s="59"/>
      <c r="F218" s="24"/>
      <c r="G218" s="61"/>
      <c r="H218" s="61"/>
      <c r="I218" s="24"/>
      <c r="J218" s="24"/>
      <c r="K218" s="24"/>
      <c r="L218" s="24"/>
      <c r="M218" s="24"/>
    </row>
    <row r="219" ht="15.75" customHeight="1">
      <c r="A219" s="24"/>
      <c r="B219" s="24"/>
      <c r="D219" s="59"/>
      <c r="E219" s="59"/>
      <c r="F219" s="24"/>
      <c r="G219" s="61"/>
      <c r="H219" s="61"/>
      <c r="I219" s="24"/>
      <c r="J219" s="24"/>
      <c r="K219" s="24"/>
      <c r="L219" s="24"/>
      <c r="M219" s="24"/>
    </row>
    <row r="220" ht="15.75" customHeight="1">
      <c r="A220" s="24"/>
      <c r="B220" s="24"/>
      <c r="D220" s="59"/>
      <c r="E220" s="59"/>
      <c r="F220" s="24"/>
      <c r="G220" s="61"/>
      <c r="H220" s="61"/>
      <c r="I220" s="24"/>
      <c r="J220" s="24"/>
      <c r="K220" s="24"/>
      <c r="L220" s="24"/>
      <c r="M220" s="24"/>
    </row>
    <row r="221" ht="15.75" customHeight="1">
      <c r="A221" s="24"/>
      <c r="B221" s="24"/>
      <c r="D221" s="59"/>
      <c r="E221" s="59"/>
      <c r="F221" s="24"/>
      <c r="G221" s="61"/>
      <c r="H221" s="61"/>
      <c r="I221" s="24"/>
      <c r="J221" s="24"/>
      <c r="K221" s="24"/>
      <c r="L221" s="24"/>
      <c r="M221" s="24"/>
    </row>
    <row r="222" ht="15.75" customHeight="1">
      <c r="A222" s="24"/>
      <c r="B222" s="24"/>
      <c r="D222" s="59"/>
      <c r="E222" s="59"/>
      <c r="F222" s="24"/>
      <c r="G222" s="61"/>
      <c r="H222" s="61"/>
      <c r="I222" s="24"/>
      <c r="J222" s="24"/>
      <c r="K222" s="24"/>
      <c r="L222" s="24"/>
      <c r="M222" s="24"/>
    </row>
    <row r="223" ht="15.75" customHeight="1">
      <c r="A223" s="24"/>
      <c r="B223" s="24"/>
      <c r="D223" s="59"/>
      <c r="E223" s="59"/>
      <c r="F223" s="24"/>
      <c r="G223" s="61"/>
      <c r="H223" s="61"/>
      <c r="I223" s="24"/>
      <c r="J223" s="24"/>
      <c r="K223" s="24"/>
      <c r="L223" s="24"/>
      <c r="M223" s="24"/>
    </row>
    <row r="224" ht="15.75" customHeight="1">
      <c r="A224" s="24"/>
      <c r="B224" s="24"/>
      <c r="D224" s="59"/>
      <c r="E224" s="59"/>
      <c r="F224" s="24"/>
      <c r="G224" s="61"/>
      <c r="H224" s="61"/>
      <c r="I224" s="24"/>
      <c r="J224" s="24"/>
      <c r="K224" s="24"/>
      <c r="L224" s="24"/>
      <c r="M224" s="24"/>
    </row>
    <row r="225" ht="15.75" customHeight="1">
      <c r="A225" s="24"/>
      <c r="B225" s="24"/>
      <c r="D225" s="59"/>
      <c r="E225" s="59"/>
      <c r="F225" s="24"/>
      <c r="G225" s="61"/>
      <c r="H225" s="61"/>
      <c r="I225" s="24"/>
      <c r="J225" s="24"/>
      <c r="K225" s="24"/>
      <c r="L225" s="24"/>
      <c r="M225" s="24"/>
    </row>
    <row r="226" ht="15.75" customHeight="1">
      <c r="A226" s="24"/>
      <c r="B226" s="24"/>
      <c r="D226" s="59"/>
      <c r="E226" s="59"/>
      <c r="F226" s="24"/>
      <c r="G226" s="61"/>
      <c r="H226" s="61"/>
      <c r="I226" s="24"/>
      <c r="J226" s="24"/>
      <c r="K226" s="24"/>
      <c r="L226" s="24"/>
      <c r="M226" s="24"/>
    </row>
    <row r="227" ht="15.75" customHeight="1">
      <c r="A227" s="24"/>
      <c r="B227" s="24"/>
      <c r="D227" s="59"/>
      <c r="E227" s="59"/>
      <c r="F227" s="24"/>
      <c r="G227" s="61"/>
      <c r="H227" s="61"/>
      <c r="I227" s="24"/>
      <c r="J227" s="24"/>
      <c r="K227" s="24"/>
      <c r="L227" s="24"/>
      <c r="M227" s="24"/>
    </row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D9:D11"/>
    <mergeCell ref="E9:E11"/>
    <mergeCell ref="A15:A16"/>
    <mergeCell ref="B15:B16"/>
    <mergeCell ref="D15:D16"/>
    <mergeCell ref="E15:E16"/>
    <mergeCell ref="A17:A19"/>
    <mergeCell ref="B17:B19"/>
    <mergeCell ref="D17:D19"/>
    <mergeCell ref="E17:E19"/>
    <mergeCell ref="A20:A22"/>
    <mergeCell ref="B20:B22"/>
    <mergeCell ref="D20:D22"/>
    <mergeCell ref="E20:E22"/>
    <mergeCell ref="A1:M2"/>
    <mergeCell ref="J4:J26"/>
    <mergeCell ref="K4:K26"/>
    <mergeCell ref="L4:L26"/>
    <mergeCell ref="M4:M26"/>
    <mergeCell ref="A9:A11"/>
    <mergeCell ref="B9:B1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2.43"/>
    <col customWidth="1" min="3" max="5" width="24.43"/>
    <col customWidth="1" min="6" max="6" width="10.86"/>
    <col customWidth="1" min="7" max="7" width="15.0"/>
    <col customWidth="1" min="8" max="8" width="11.43"/>
    <col customWidth="1" min="9" max="9" width="13.0"/>
    <col customWidth="1" min="10" max="10" width="18.0"/>
    <col customWidth="1" min="11" max="11" width="17.14"/>
    <col customWidth="1" min="12" max="13" width="18.14"/>
    <col customWidth="1" min="14" max="26" width="9.14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4.2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8"/>
    </row>
    <row r="3" ht="14.25" customHeight="1">
      <c r="A3" s="10" t="s">
        <v>2</v>
      </c>
      <c r="B3" s="12" t="s">
        <v>3</v>
      </c>
      <c r="C3" s="10" t="s">
        <v>4</v>
      </c>
      <c r="D3" s="17" t="s">
        <v>5</v>
      </c>
      <c r="E3" s="17" t="s">
        <v>6</v>
      </c>
      <c r="F3" s="10" t="s">
        <v>7</v>
      </c>
      <c r="G3" s="20" t="s">
        <v>8</v>
      </c>
      <c r="H3" s="22" t="s">
        <v>9</v>
      </c>
      <c r="I3" s="10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1.75" customHeight="1">
      <c r="A4" s="10">
        <f>ROW()-3</f>
        <v>1</v>
      </c>
      <c r="B4" s="28">
        <v>44821.0</v>
      </c>
      <c r="C4" s="12" t="s">
        <v>19</v>
      </c>
      <c r="D4" s="17" t="s">
        <v>21</v>
      </c>
      <c r="E4" s="17" t="s">
        <v>22</v>
      </c>
      <c r="F4" s="10">
        <v>1.0</v>
      </c>
      <c r="G4" s="20">
        <v>2100.0</v>
      </c>
      <c r="H4" s="22">
        <v>6000.0</v>
      </c>
      <c r="I4" s="22">
        <f t="shared" ref="I4:I13" si="3">(H4-G4)</f>
        <v>3900</v>
      </c>
      <c r="J4" s="19">
        <f t="shared" ref="J4:K4" si="1">SUM(H4:H18)</f>
        <v>62700</v>
      </c>
      <c r="K4" s="34">
        <f t="shared" si="1"/>
        <v>38000</v>
      </c>
      <c r="L4" s="34">
        <f t="shared" ref="L4:M4" si="2">J4/2</f>
        <v>31350</v>
      </c>
      <c r="M4" s="34">
        <f t="shared" si="2"/>
        <v>19000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36">
        <v>2.0</v>
      </c>
      <c r="B5" s="28">
        <v>44821.0</v>
      </c>
      <c r="C5" s="12" t="s">
        <v>29</v>
      </c>
      <c r="D5" s="17" t="s">
        <v>30</v>
      </c>
      <c r="E5" s="17" t="s">
        <v>31</v>
      </c>
      <c r="F5" s="10">
        <v>1.0</v>
      </c>
      <c r="G5" s="20">
        <v>1800.0</v>
      </c>
      <c r="H5" s="22">
        <v>3800.0</v>
      </c>
      <c r="I5" s="22">
        <f t="shared" si="3"/>
        <v>2000</v>
      </c>
      <c r="J5" s="38"/>
      <c r="K5" s="38"/>
      <c r="L5" s="38"/>
      <c r="M5" s="38"/>
    </row>
    <row r="6" ht="14.25" customHeight="1">
      <c r="A6" s="36">
        <v>3.0</v>
      </c>
      <c r="B6" s="28">
        <v>44830.0</v>
      </c>
      <c r="C6" s="12" t="s">
        <v>32</v>
      </c>
      <c r="D6" s="17" t="s">
        <v>33</v>
      </c>
      <c r="E6" s="17" t="s">
        <v>34</v>
      </c>
      <c r="F6" s="10">
        <v>1.0</v>
      </c>
      <c r="G6" s="20">
        <v>7500.0</v>
      </c>
      <c r="H6" s="22">
        <v>17000.0</v>
      </c>
      <c r="I6" s="22">
        <f t="shared" si="3"/>
        <v>9500</v>
      </c>
      <c r="J6" s="38"/>
      <c r="K6" s="38"/>
      <c r="L6" s="38"/>
      <c r="M6" s="38"/>
    </row>
    <row r="7" ht="14.25" customHeight="1">
      <c r="A7" s="40">
        <v>4.0</v>
      </c>
      <c r="B7" s="42">
        <v>44836.0</v>
      </c>
      <c r="C7" s="12" t="s">
        <v>38</v>
      </c>
      <c r="D7" s="43" t="s">
        <v>39</v>
      </c>
      <c r="E7" s="43" t="s">
        <v>31</v>
      </c>
      <c r="F7" s="10">
        <v>1.0</v>
      </c>
      <c r="G7" s="20">
        <v>350.0</v>
      </c>
      <c r="H7" s="22">
        <v>1500.0</v>
      </c>
      <c r="I7" s="22">
        <f t="shared" si="3"/>
        <v>1150</v>
      </c>
      <c r="J7" s="38"/>
      <c r="K7" s="38"/>
      <c r="L7" s="38"/>
      <c r="M7" s="38"/>
    </row>
    <row r="8" ht="14.25" customHeight="1">
      <c r="A8" s="44"/>
      <c r="B8" s="38"/>
      <c r="C8" s="12" t="s">
        <v>43</v>
      </c>
      <c r="D8" s="38"/>
      <c r="E8" s="38"/>
      <c r="F8" s="10">
        <v>1.0</v>
      </c>
      <c r="G8" s="20">
        <v>1550.0</v>
      </c>
      <c r="H8" s="22">
        <v>3000.0</v>
      </c>
      <c r="I8" s="22">
        <f t="shared" si="3"/>
        <v>1450</v>
      </c>
      <c r="J8" s="38"/>
      <c r="K8" s="38"/>
      <c r="L8" s="38"/>
      <c r="M8" s="38"/>
    </row>
    <row r="9" ht="14.25" customHeight="1">
      <c r="A9" s="46"/>
      <c r="B9" s="47"/>
      <c r="C9" s="12" t="s">
        <v>18</v>
      </c>
      <c r="D9" s="47"/>
      <c r="E9" s="47"/>
      <c r="F9" s="10">
        <v>1.0</v>
      </c>
      <c r="G9" s="20">
        <v>2400.0</v>
      </c>
      <c r="H9" s="22">
        <v>6750.0</v>
      </c>
      <c r="I9" s="22">
        <f t="shared" si="3"/>
        <v>4350</v>
      </c>
      <c r="J9" s="38"/>
      <c r="K9" s="38"/>
      <c r="L9" s="38"/>
      <c r="M9" s="38"/>
    </row>
    <row r="10" ht="14.25" customHeight="1">
      <c r="A10" s="36">
        <v>5.0</v>
      </c>
      <c r="B10" s="28">
        <v>44837.0</v>
      </c>
      <c r="C10" s="12" t="s">
        <v>51</v>
      </c>
      <c r="D10" s="17" t="s">
        <v>52</v>
      </c>
      <c r="E10" s="17" t="s">
        <v>54</v>
      </c>
      <c r="F10" s="10">
        <v>1.0</v>
      </c>
      <c r="G10" s="20">
        <v>2700.0</v>
      </c>
      <c r="H10" s="22">
        <v>9000.0</v>
      </c>
      <c r="I10" s="22">
        <f t="shared" si="3"/>
        <v>6300</v>
      </c>
      <c r="J10" s="38"/>
      <c r="K10" s="38"/>
      <c r="L10" s="38"/>
      <c r="M10" s="38"/>
    </row>
    <row r="11" ht="14.25" customHeight="1">
      <c r="A11" s="40">
        <v>6.0</v>
      </c>
      <c r="B11" s="42">
        <v>44841.0</v>
      </c>
      <c r="C11" s="12" t="s">
        <v>18</v>
      </c>
      <c r="D11" s="43" t="s">
        <v>62</v>
      </c>
      <c r="E11" s="43" t="s">
        <v>61</v>
      </c>
      <c r="F11" s="10">
        <v>1.0</v>
      </c>
      <c r="G11" s="20">
        <v>2400.0</v>
      </c>
      <c r="H11" s="22">
        <v>6750.0</v>
      </c>
      <c r="I11" s="22">
        <f t="shared" si="3"/>
        <v>4350</v>
      </c>
      <c r="J11" s="38"/>
      <c r="K11" s="38"/>
      <c r="L11" s="38"/>
      <c r="M11" s="38"/>
    </row>
    <row r="12" ht="14.25" customHeight="1">
      <c r="A12" s="46"/>
      <c r="B12" s="47"/>
      <c r="C12" s="12" t="s">
        <v>63</v>
      </c>
      <c r="D12" s="47"/>
      <c r="E12" s="47"/>
      <c r="F12" s="10">
        <v>1.0</v>
      </c>
      <c r="G12" s="50">
        <v>1800.0</v>
      </c>
      <c r="H12" s="22">
        <v>3500.0</v>
      </c>
      <c r="I12" s="22">
        <f t="shared" si="3"/>
        <v>1700</v>
      </c>
      <c r="J12" s="38"/>
      <c r="K12" s="38"/>
      <c r="L12" s="38"/>
      <c r="M12" s="38"/>
    </row>
    <row r="13" ht="14.25" customHeight="1">
      <c r="A13" s="40">
        <v>7.0</v>
      </c>
      <c r="B13" s="42">
        <v>44842.0</v>
      </c>
      <c r="C13" s="53" t="s">
        <v>19</v>
      </c>
      <c r="D13" s="43" t="s">
        <v>71</v>
      </c>
      <c r="E13" s="43" t="s">
        <v>28</v>
      </c>
      <c r="F13" s="54">
        <v>1.0</v>
      </c>
      <c r="G13" s="55">
        <v>2100.0</v>
      </c>
      <c r="H13" s="56">
        <v>5400.0</v>
      </c>
      <c r="I13" s="22">
        <f t="shared" si="3"/>
        <v>3300</v>
      </c>
      <c r="J13" s="47"/>
      <c r="K13" s="47"/>
      <c r="L13" s="47"/>
      <c r="M13" s="47"/>
    </row>
    <row r="14" ht="14.25" customHeight="1">
      <c r="A14" s="24"/>
      <c r="B14" s="57"/>
      <c r="D14" s="59"/>
      <c r="E14" s="59"/>
      <c r="F14" s="24"/>
      <c r="G14" s="60"/>
      <c r="H14" s="61"/>
      <c r="I14" s="24"/>
      <c r="J14" s="62"/>
      <c r="K14" s="63"/>
      <c r="L14" s="63"/>
      <c r="M14" s="63"/>
    </row>
    <row r="15" ht="14.25" customHeight="1">
      <c r="A15" s="24"/>
      <c r="B15" s="57"/>
      <c r="D15" s="59"/>
      <c r="E15" s="59"/>
      <c r="F15" s="24"/>
      <c r="G15" s="60"/>
      <c r="H15" s="61"/>
      <c r="I15" s="24"/>
      <c r="J15" s="62"/>
      <c r="K15" s="63"/>
      <c r="L15" s="63"/>
      <c r="M15" s="63"/>
    </row>
    <row r="16" ht="14.25" customHeight="1">
      <c r="A16" s="24"/>
      <c r="B16" s="57"/>
      <c r="D16" s="59"/>
      <c r="E16" s="59"/>
      <c r="F16" s="24"/>
      <c r="G16" s="60"/>
      <c r="H16" s="61"/>
      <c r="I16" s="24"/>
      <c r="J16" s="62"/>
      <c r="K16" s="63"/>
      <c r="L16" s="63"/>
      <c r="M16" s="63"/>
    </row>
    <row r="17" ht="14.25" customHeight="1">
      <c r="A17" s="24"/>
      <c r="B17" s="57"/>
      <c r="D17" s="59"/>
      <c r="E17" s="59"/>
      <c r="F17" s="24"/>
      <c r="G17" s="60"/>
      <c r="H17" s="61"/>
      <c r="I17" s="24"/>
      <c r="J17" s="62"/>
      <c r="K17" s="63"/>
      <c r="L17" s="63"/>
      <c r="M17" s="63"/>
    </row>
    <row r="18" ht="14.25" customHeight="1">
      <c r="A18" s="24"/>
      <c r="B18" s="57"/>
      <c r="D18" s="59"/>
      <c r="E18" s="59"/>
      <c r="F18" s="24"/>
      <c r="G18" s="60"/>
      <c r="H18" s="61"/>
      <c r="I18" s="24"/>
      <c r="J18" s="62"/>
      <c r="K18" s="63"/>
      <c r="L18" s="63"/>
      <c r="M18" s="63"/>
    </row>
    <row r="19" ht="14.25" customHeight="1">
      <c r="A19" s="24"/>
      <c r="B19" s="57"/>
      <c r="D19" s="59"/>
      <c r="E19" s="59"/>
      <c r="F19" s="24"/>
      <c r="G19" s="60"/>
      <c r="H19" s="61"/>
      <c r="I19" s="24"/>
      <c r="J19" s="62"/>
      <c r="K19" s="63"/>
      <c r="L19" s="63"/>
      <c r="M19" s="63"/>
    </row>
    <row r="20" ht="14.25" customHeight="1">
      <c r="A20" s="24"/>
      <c r="B20" s="57"/>
      <c r="D20" s="59"/>
      <c r="E20" s="59"/>
      <c r="F20" s="24"/>
      <c r="G20" s="60"/>
      <c r="H20" s="61"/>
      <c r="I20" s="24"/>
      <c r="J20" s="62"/>
      <c r="K20" s="63"/>
      <c r="L20" s="63"/>
      <c r="M20" s="63"/>
    </row>
    <row r="21" ht="15.75" customHeight="1">
      <c r="A21" s="24"/>
      <c r="B21" s="57"/>
      <c r="D21" s="59"/>
      <c r="E21" s="59"/>
      <c r="F21" s="24"/>
      <c r="G21" s="60"/>
      <c r="H21" s="61"/>
      <c r="I21" s="24"/>
      <c r="J21" s="62"/>
      <c r="K21" s="63"/>
      <c r="L21" s="63"/>
      <c r="M21" s="63"/>
    </row>
    <row r="22" ht="15.75" customHeight="1">
      <c r="A22" s="24"/>
      <c r="B22" s="57"/>
      <c r="F22" s="24"/>
      <c r="G22" s="66"/>
      <c r="H22" s="61"/>
      <c r="J22" s="62"/>
      <c r="K22" s="63"/>
      <c r="L22" s="63"/>
      <c r="M22" s="63"/>
    </row>
    <row r="23" ht="15.75" customHeight="1">
      <c r="A23" s="24"/>
      <c r="B23" s="57"/>
      <c r="D23" s="59"/>
      <c r="E23" s="59"/>
      <c r="F23" s="24"/>
      <c r="G23" s="60"/>
      <c r="H23" s="61"/>
      <c r="I23" s="24"/>
      <c r="J23" s="62"/>
      <c r="K23" s="63"/>
      <c r="L23" s="63"/>
      <c r="M23" s="63"/>
    </row>
    <row r="24" ht="15.75" customHeight="1">
      <c r="A24" s="24"/>
      <c r="B24" s="57"/>
      <c r="D24" s="59"/>
      <c r="E24" s="59"/>
      <c r="F24" s="24"/>
      <c r="G24" s="60"/>
      <c r="H24" s="61"/>
      <c r="I24" s="24"/>
      <c r="J24" s="62"/>
      <c r="K24" s="63"/>
      <c r="L24" s="63"/>
      <c r="M24" s="63"/>
    </row>
    <row r="25" ht="15.75" customHeight="1">
      <c r="A25" s="24"/>
      <c r="B25" s="57"/>
      <c r="D25" s="59"/>
      <c r="E25" s="59"/>
      <c r="F25" s="24"/>
      <c r="G25" s="60"/>
      <c r="H25" s="61"/>
      <c r="I25" s="24"/>
      <c r="J25" s="62"/>
      <c r="K25" s="63"/>
      <c r="L25" s="63"/>
      <c r="M25" s="63"/>
    </row>
    <row r="26" ht="15.75" customHeight="1">
      <c r="A26" s="24"/>
      <c r="B26" s="57"/>
      <c r="D26" s="59"/>
      <c r="E26" s="59"/>
      <c r="F26" s="24"/>
      <c r="G26" s="60"/>
      <c r="H26" s="61"/>
      <c r="I26" s="24"/>
      <c r="J26" s="62"/>
      <c r="K26" s="63"/>
      <c r="L26" s="63"/>
      <c r="M26" s="63"/>
    </row>
    <row r="27" ht="15.75" customHeight="1">
      <c r="A27" s="24"/>
      <c r="B27" s="57"/>
      <c r="D27" s="59"/>
      <c r="E27" s="59"/>
      <c r="F27" s="24"/>
      <c r="G27" s="60"/>
      <c r="H27" s="61"/>
      <c r="I27" s="24"/>
      <c r="J27" s="62"/>
      <c r="K27" s="63"/>
      <c r="L27" s="63"/>
      <c r="M27" s="63"/>
    </row>
    <row r="28" ht="15.75" customHeight="1">
      <c r="A28" s="24"/>
      <c r="B28" s="57"/>
      <c r="D28" s="59"/>
      <c r="E28" s="59"/>
      <c r="F28" s="24"/>
      <c r="G28" s="60"/>
      <c r="H28" s="61"/>
      <c r="I28" s="24"/>
      <c r="J28" s="62"/>
      <c r="K28" s="63"/>
      <c r="L28" s="63"/>
      <c r="M28" s="63"/>
    </row>
    <row r="29" ht="15.75" customHeight="1">
      <c r="A29" s="24"/>
      <c r="B29" s="57"/>
      <c r="D29" s="59"/>
      <c r="E29" s="59"/>
      <c r="F29" s="24"/>
      <c r="G29" s="60"/>
      <c r="H29" s="61"/>
      <c r="I29" s="24"/>
      <c r="J29" s="57"/>
      <c r="K29" s="57"/>
      <c r="L29" s="57"/>
      <c r="M29" s="57"/>
    </row>
    <row r="30" ht="15.75" customHeight="1">
      <c r="A30" s="24"/>
      <c r="B30" s="57"/>
      <c r="D30" s="59"/>
      <c r="E30" s="59"/>
      <c r="F30" s="24"/>
      <c r="G30" s="60"/>
      <c r="H30" s="61"/>
      <c r="I30" s="24"/>
      <c r="J30" s="57"/>
      <c r="K30" s="57"/>
      <c r="L30" s="57"/>
      <c r="M30" s="57"/>
    </row>
    <row r="31" ht="15.75" customHeight="1">
      <c r="A31" s="24"/>
      <c r="B31" s="57"/>
      <c r="D31" s="59"/>
      <c r="E31" s="59"/>
      <c r="F31" s="24"/>
      <c r="G31" s="60"/>
      <c r="H31" s="61"/>
      <c r="I31" s="24"/>
      <c r="J31" s="57"/>
      <c r="K31" s="57"/>
      <c r="L31" s="57"/>
      <c r="M31" s="57"/>
    </row>
    <row r="32" ht="15.75" customHeight="1">
      <c r="A32" s="24"/>
      <c r="B32" s="57"/>
      <c r="D32" s="59"/>
      <c r="E32" s="59"/>
      <c r="F32" s="24"/>
      <c r="G32" s="60"/>
      <c r="H32" s="61"/>
      <c r="I32" s="24"/>
      <c r="J32" s="57"/>
      <c r="K32" s="57"/>
      <c r="L32" s="57"/>
      <c r="M32" s="57"/>
    </row>
    <row r="33" ht="15.75" customHeight="1">
      <c r="A33" s="24"/>
      <c r="B33" s="57"/>
      <c r="D33" s="59"/>
      <c r="E33" s="59"/>
      <c r="F33" s="24"/>
      <c r="G33" s="60"/>
      <c r="H33" s="61"/>
      <c r="I33" s="24"/>
      <c r="J33" s="57"/>
      <c r="K33" s="57"/>
      <c r="L33" s="57"/>
      <c r="M33" s="57"/>
    </row>
    <row r="34" ht="15.75" customHeight="1">
      <c r="A34" s="24"/>
      <c r="B34" s="57"/>
      <c r="D34" s="59"/>
      <c r="E34" s="59"/>
      <c r="F34" s="24"/>
      <c r="G34" s="60"/>
      <c r="H34" s="61"/>
      <c r="I34" s="24"/>
      <c r="J34" s="57"/>
      <c r="K34" s="57"/>
      <c r="L34" s="57"/>
      <c r="M34" s="57"/>
    </row>
    <row r="35" ht="15.75" customHeight="1">
      <c r="A35" s="24"/>
      <c r="B35" s="57"/>
      <c r="D35" s="59"/>
      <c r="E35" s="59"/>
      <c r="F35" s="24"/>
      <c r="G35" s="60"/>
      <c r="H35" s="61"/>
      <c r="I35" s="24"/>
      <c r="J35" s="57"/>
      <c r="K35" s="57"/>
      <c r="L35" s="57"/>
      <c r="M35" s="57"/>
    </row>
    <row r="36" ht="15.75" customHeight="1">
      <c r="A36" s="24"/>
      <c r="B36" s="57"/>
      <c r="D36" s="59"/>
      <c r="E36" s="59"/>
      <c r="F36" s="24"/>
      <c r="G36" s="60"/>
      <c r="H36" s="61"/>
      <c r="I36" s="24"/>
      <c r="J36" s="57"/>
      <c r="K36" s="57"/>
      <c r="L36" s="57"/>
      <c r="M36" s="57"/>
    </row>
    <row r="37" ht="15.75" customHeight="1">
      <c r="A37" s="24"/>
      <c r="B37" s="57"/>
      <c r="D37" s="59"/>
      <c r="E37" s="59"/>
      <c r="F37" s="24"/>
      <c r="G37" s="60"/>
      <c r="H37" s="61"/>
      <c r="I37" s="24"/>
      <c r="J37" s="57"/>
      <c r="K37" s="57"/>
      <c r="L37" s="57"/>
      <c r="M37" s="57"/>
    </row>
    <row r="38" ht="15.75" customHeight="1">
      <c r="A38" s="24"/>
      <c r="B38" s="57"/>
      <c r="D38" s="59"/>
      <c r="E38" s="59"/>
      <c r="F38" s="24"/>
      <c r="G38" s="60"/>
      <c r="H38" s="61"/>
      <c r="I38" s="24"/>
      <c r="J38" s="57"/>
      <c r="K38" s="57"/>
      <c r="L38" s="57"/>
      <c r="M38" s="57"/>
    </row>
    <row r="39" ht="15.75" customHeight="1">
      <c r="A39" s="24"/>
      <c r="B39" s="57"/>
      <c r="D39" s="59"/>
      <c r="E39" s="59"/>
      <c r="F39" s="24"/>
      <c r="G39" s="60"/>
      <c r="H39" s="61"/>
      <c r="I39" s="24"/>
      <c r="J39" s="57"/>
      <c r="K39" s="57"/>
      <c r="L39" s="57"/>
      <c r="M39" s="57"/>
    </row>
    <row r="40" ht="15.75" customHeight="1">
      <c r="A40" s="24"/>
      <c r="B40" s="57"/>
      <c r="D40" s="59"/>
      <c r="E40" s="59"/>
      <c r="F40" s="24"/>
      <c r="G40" s="60"/>
      <c r="H40" s="61"/>
      <c r="I40" s="24"/>
      <c r="J40" s="57"/>
      <c r="K40" s="57"/>
      <c r="L40" s="57"/>
      <c r="M40" s="57"/>
    </row>
    <row r="41" ht="15.75" customHeight="1">
      <c r="A41" s="24"/>
      <c r="B41" s="57"/>
      <c r="D41" s="59"/>
      <c r="E41" s="59"/>
      <c r="F41" s="24"/>
      <c r="G41" s="60"/>
      <c r="H41" s="61"/>
      <c r="I41" s="24"/>
      <c r="J41" s="57"/>
      <c r="K41" s="57"/>
      <c r="L41" s="57"/>
      <c r="M41" s="57"/>
    </row>
    <row r="42" ht="15.75" customHeight="1">
      <c r="A42" s="24"/>
      <c r="B42" s="57"/>
      <c r="D42" s="59"/>
      <c r="E42" s="59"/>
      <c r="F42" s="24"/>
      <c r="G42" s="60"/>
      <c r="H42" s="61"/>
      <c r="I42" s="24"/>
      <c r="J42" s="57"/>
      <c r="K42" s="57"/>
      <c r="L42" s="57"/>
      <c r="M42" s="57"/>
    </row>
    <row r="43" ht="15.75" customHeight="1">
      <c r="A43" s="24"/>
      <c r="B43" s="57"/>
      <c r="D43" s="59"/>
      <c r="E43" s="59"/>
      <c r="F43" s="24"/>
      <c r="G43" s="60"/>
      <c r="H43" s="61"/>
      <c r="I43" s="24"/>
      <c r="J43" s="57"/>
      <c r="K43" s="57"/>
      <c r="L43" s="57"/>
      <c r="M43" s="57"/>
    </row>
    <row r="44" ht="15.75" customHeight="1">
      <c r="A44" s="24"/>
      <c r="B44" s="57"/>
      <c r="D44" s="59"/>
      <c r="E44" s="59"/>
      <c r="F44" s="24"/>
      <c r="G44" s="60"/>
      <c r="H44" s="61"/>
      <c r="I44" s="24"/>
      <c r="J44" s="57"/>
      <c r="K44" s="57"/>
      <c r="L44" s="57"/>
      <c r="M44" s="57"/>
    </row>
    <row r="45" ht="15.75" customHeight="1">
      <c r="A45" s="24"/>
      <c r="B45" s="57"/>
      <c r="D45" s="59"/>
      <c r="E45" s="59"/>
      <c r="F45" s="24"/>
      <c r="G45" s="60"/>
      <c r="H45" s="61"/>
      <c r="I45" s="24"/>
      <c r="J45" s="57"/>
      <c r="K45" s="57"/>
      <c r="L45" s="57"/>
      <c r="M45" s="57"/>
    </row>
    <row r="46" ht="15.75" customHeight="1">
      <c r="A46" s="24"/>
      <c r="B46" s="57"/>
      <c r="D46" s="59"/>
      <c r="E46" s="59"/>
      <c r="F46" s="24"/>
      <c r="G46" s="60"/>
      <c r="H46" s="61"/>
      <c r="I46" s="24"/>
      <c r="J46" s="57"/>
      <c r="K46" s="57"/>
      <c r="L46" s="57"/>
      <c r="M46" s="57"/>
    </row>
    <row r="47" ht="15.75" customHeight="1">
      <c r="A47" s="24"/>
      <c r="B47" s="57"/>
      <c r="D47" s="59"/>
      <c r="E47" s="59"/>
      <c r="F47" s="24"/>
      <c r="G47" s="60"/>
      <c r="H47" s="61"/>
      <c r="I47" s="24"/>
      <c r="J47" s="57"/>
      <c r="K47" s="57"/>
      <c r="L47" s="57"/>
      <c r="M47" s="57"/>
    </row>
    <row r="48" ht="15.75" customHeight="1">
      <c r="A48" s="24"/>
      <c r="B48" s="57"/>
      <c r="D48" s="59"/>
      <c r="E48" s="59"/>
      <c r="F48" s="24"/>
      <c r="G48" s="60"/>
      <c r="H48" s="61"/>
      <c r="I48" s="24"/>
      <c r="J48" s="57"/>
      <c r="K48" s="57"/>
      <c r="L48" s="57"/>
      <c r="M48" s="57"/>
    </row>
    <row r="49" ht="15.75" customHeight="1">
      <c r="A49" s="24"/>
      <c r="B49" s="57"/>
      <c r="D49" s="59"/>
      <c r="E49" s="59"/>
      <c r="F49" s="24"/>
      <c r="G49" s="60"/>
      <c r="H49" s="61"/>
      <c r="I49" s="24"/>
      <c r="J49" s="57"/>
      <c r="K49" s="57"/>
      <c r="L49" s="57"/>
      <c r="M49" s="57"/>
    </row>
    <row r="50" ht="15.75" customHeight="1">
      <c r="A50" s="24"/>
      <c r="B50" s="57"/>
      <c r="D50" s="59"/>
      <c r="E50" s="59"/>
      <c r="F50" s="24"/>
      <c r="G50" s="60"/>
      <c r="H50" s="61"/>
      <c r="I50" s="24"/>
      <c r="J50" s="57"/>
      <c r="K50" s="57"/>
      <c r="L50" s="57"/>
      <c r="M50" s="57"/>
    </row>
    <row r="51" ht="15.75" customHeight="1">
      <c r="A51" s="24"/>
      <c r="B51" s="57"/>
      <c r="D51" s="59"/>
      <c r="E51" s="59"/>
      <c r="F51" s="24"/>
      <c r="G51" s="60"/>
      <c r="H51" s="61"/>
      <c r="I51" s="24"/>
      <c r="J51" s="57"/>
      <c r="K51" s="57"/>
      <c r="L51" s="57"/>
      <c r="M51" s="57"/>
    </row>
    <row r="52" ht="15.75" customHeight="1">
      <c r="A52" s="24"/>
      <c r="B52" s="57"/>
      <c r="D52" s="59"/>
      <c r="E52" s="59"/>
      <c r="F52" s="24"/>
      <c r="G52" s="60"/>
      <c r="H52" s="61"/>
      <c r="I52" s="24"/>
      <c r="J52" s="57"/>
      <c r="K52" s="57"/>
      <c r="L52" s="57"/>
      <c r="M52" s="57"/>
    </row>
    <row r="53" ht="15.75" customHeight="1">
      <c r="A53" s="24"/>
      <c r="B53" s="57"/>
      <c r="D53" s="59"/>
      <c r="E53" s="59"/>
      <c r="F53" s="24"/>
      <c r="G53" s="60"/>
      <c r="H53" s="61"/>
      <c r="I53" s="24"/>
      <c r="J53" s="57"/>
      <c r="K53" s="57"/>
      <c r="L53" s="57"/>
      <c r="M53" s="57"/>
    </row>
    <row r="54" ht="15.75" customHeight="1">
      <c r="A54" s="24"/>
      <c r="B54" s="57"/>
      <c r="D54" s="59"/>
      <c r="E54" s="59"/>
      <c r="F54" s="24"/>
      <c r="G54" s="60"/>
      <c r="H54" s="61"/>
      <c r="I54" s="24"/>
      <c r="J54" s="57"/>
      <c r="K54" s="57"/>
      <c r="L54" s="57"/>
      <c r="M54" s="57"/>
    </row>
    <row r="55" ht="15.75" customHeight="1">
      <c r="A55" s="24"/>
      <c r="B55" s="57"/>
      <c r="D55" s="59"/>
      <c r="E55" s="59"/>
      <c r="F55" s="24"/>
      <c r="G55" s="60"/>
      <c r="H55" s="61"/>
      <c r="I55" s="24"/>
      <c r="J55" s="57"/>
      <c r="K55" s="57"/>
      <c r="L55" s="57"/>
      <c r="M55" s="57"/>
    </row>
    <row r="56" ht="15.75" customHeight="1">
      <c r="A56" s="24"/>
      <c r="B56" s="57"/>
      <c r="D56" s="59"/>
      <c r="E56" s="59"/>
      <c r="F56" s="24"/>
      <c r="G56" s="60"/>
      <c r="H56" s="61"/>
      <c r="I56" s="24"/>
      <c r="J56" s="57"/>
      <c r="K56" s="57"/>
      <c r="L56" s="57"/>
      <c r="M56" s="57"/>
    </row>
    <row r="57" ht="15.75" customHeight="1">
      <c r="A57" s="24"/>
      <c r="B57" s="57"/>
      <c r="D57" s="59"/>
      <c r="E57" s="59"/>
      <c r="F57" s="24"/>
      <c r="G57" s="60"/>
      <c r="H57" s="61"/>
      <c r="I57" s="24"/>
      <c r="J57" s="57"/>
      <c r="K57" s="57"/>
      <c r="L57" s="57"/>
      <c r="M57" s="57"/>
    </row>
    <row r="58" ht="15.75" customHeight="1">
      <c r="A58" s="24"/>
      <c r="B58" s="57"/>
      <c r="D58" s="59"/>
      <c r="E58" s="59"/>
      <c r="F58" s="24"/>
      <c r="G58" s="60"/>
      <c r="H58" s="61"/>
      <c r="I58" s="24"/>
      <c r="J58" s="57"/>
      <c r="K58" s="57"/>
      <c r="L58" s="57"/>
      <c r="M58" s="57"/>
    </row>
    <row r="59" ht="15.75" customHeight="1">
      <c r="A59" s="24"/>
      <c r="B59" s="57"/>
      <c r="D59" s="59"/>
      <c r="E59" s="59"/>
      <c r="F59" s="24"/>
      <c r="G59" s="60"/>
      <c r="H59" s="61"/>
      <c r="I59" s="24"/>
      <c r="J59" s="57"/>
      <c r="K59" s="57"/>
      <c r="L59" s="57"/>
      <c r="M59" s="57"/>
    </row>
    <row r="60" ht="15.75" customHeight="1">
      <c r="A60" s="24"/>
      <c r="B60" s="57"/>
      <c r="D60" s="59"/>
      <c r="E60" s="59"/>
      <c r="F60" s="24"/>
      <c r="G60" s="60"/>
      <c r="H60" s="61"/>
      <c r="I60" s="24"/>
      <c r="J60" s="57"/>
      <c r="K60" s="57"/>
      <c r="L60" s="57"/>
      <c r="M60" s="57"/>
    </row>
    <row r="61" ht="15.75" customHeight="1">
      <c r="A61" s="24"/>
      <c r="B61" s="57"/>
      <c r="D61" s="59"/>
      <c r="E61" s="59"/>
      <c r="F61" s="24"/>
      <c r="G61" s="60"/>
      <c r="H61" s="61"/>
      <c r="I61" s="24"/>
      <c r="J61" s="57"/>
      <c r="K61" s="57"/>
      <c r="L61" s="57"/>
      <c r="M61" s="57"/>
    </row>
    <row r="62" ht="15.75" customHeight="1">
      <c r="A62" s="24"/>
      <c r="B62" s="57"/>
      <c r="D62" s="59"/>
      <c r="E62" s="59"/>
      <c r="F62" s="24"/>
      <c r="G62" s="60"/>
      <c r="H62" s="61"/>
      <c r="I62" s="24"/>
      <c r="J62" s="57"/>
      <c r="K62" s="57"/>
      <c r="L62" s="57"/>
      <c r="M62" s="57"/>
    </row>
    <row r="63" ht="15.75" customHeight="1">
      <c r="A63" s="24"/>
      <c r="B63" s="57"/>
      <c r="D63" s="59"/>
      <c r="E63" s="59"/>
      <c r="F63" s="24"/>
      <c r="G63" s="60"/>
      <c r="H63" s="61"/>
      <c r="I63" s="24"/>
      <c r="J63" s="57"/>
      <c r="K63" s="57"/>
      <c r="L63" s="57"/>
      <c r="M63" s="57"/>
    </row>
    <row r="64" ht="15.75" customHeight="1">
      <c r="A64" s="24"/>
      <c r="B64" s="57"/>
      <c r="D64" s="59"/>
      <c r="E64" s="59"/>
      <c r="F64" s="24"/>
      <c r="G64" s="60"/>
      <c r="H64" s="61"/>
      <c r="I64" s="24"/>
      <c r="J64" s="57"/>
      <c r="K64" s="57"/>
      <c r="L64" s="57"/>
      <c r="M64" s="57"/>
    </row>
    <row r="65" ht="15.75" customHeight="1">
      <c r="A65" s="24"/>
      <c r="B65" s="57"/>
      <c r="D65" s="59"/>
      <c r="E65" s="59"/>
      <c r="F65" s="24"/>
      <c r="G65" s="60"/>
      <c r="H65" s="61"/>
      <c r="I65" s="24"/>
      <c r="J65" s="57"/>
      <c r="K65" s="57"/>
      <c r="L65" s="57"/>
      <c r="M65" s="57"/>
    </row>
    <row r="66" ht="15.75" customHeight="1">
      <c r="A66" s="24"/>
      <c r="B66" s="57"/>
      <c r="D66" s="59"/>
      <c r="E66" s="59"/>
      <c r="F66" s="24"/>
      <c r="G66" s="60"/>
      <c r="H66" s="61"/>
      <c r="I66" s="24"/>
      <c r="J66" s="57"/>
      <c r="K66" s="57"/>
      <c r="L66" s="57"/>
      <c r="M66" s="57"/>
    </row>
    <row r="67" ht="15.75" customHeight="1">
      <c r="A67" s="24"/>
      <c r="B67" s="57"/>
      <c r="D67" s="59"/>
      <c r="E67" s="59"/>
      <c r="F67" s="24"/>
      <c r="G67" s="60"/>
      <c r="H67" s="61"/>
      <c r="I67" s="24"/>
      <c r="J67" s="57"/>
      <c r="K67" s="57"/>
      <c r="L67" s="57"/>
      <c r="M67" s="57"/>
    </row>
    <row r="68" ht="15.75" customHeight="1">
      <c r="A68" s="24"/>
      <c r="B68" s="57"/>
      <c r="D68" s="59"/>
      <c r="E68" s="59"/>
      <c r="F68" s="24"/>
      <c r="G68" s="60"/>
      <c r="H68" s="61"/>
      <c r="I68" s="24"/>
      <c r="J68" s="57"/>
      <c r="K68" s="57"/>
      <c r="L68" s="57"/>
      <c r="M68" s="57"/>
    </row>
    <row r="69" ht="15.75" customHeight="1">
      <c r="A69" s="24"/>
      <c r="B69" s="57"/>
      <c r="D69" s="59"/>
      <c r="E69" s="59"/>
      <c r="F69" s="24"/>
      <c r="G69" s="60"/>
      <c r="H69" s="61"/>
      <c r="I69" s="24"/>
      <c r="J69" s="57"/>
      <c r="K69" s="57"/>
      <c r="L69" s="57"/>
      <c r="M69" s="57"/>
    </row>
    <row r="70" ht="15.75" customHeight="1">
      <c r="A70" s="24"/>
      <c r="B70" s="57"/>
      <c r="D70" s="59"/>
      <c r="E70" s="59"/>
      <c r="F70" s="24"/>
      <c r="G70" s="60"/>
      <c r="H70" s="61"/>
      <c r="I70" s="24"/>
      <c r="J70" s="57"/>
      <c r="K70" s="57"/>
      <c r="L70" s="57"/>
      <c r="M70" s="57"/>
    </row>
    <row r="71" ht="15.75" customHeight="1">
      <c r="A71" s="24"/>
      <c r="B71" s="57"/>
      <c r="D71" s="59"/>
      <c r="E71" s="59"/>
      <c r="F71" s="24"/>
      <c r="G71" s="60"/>
      <c r="H71" s="61"/>
      <c r="I71" s="24"/>
      <c r="J71" s="57"/>
      <c r="K71" s="57"/>
      <c r="L71" s="57"/>
      <c r="M71" s="57"/>
    </row>
    <row r="72" ht="15.75" customHeight="1">
      <c r="A72" s="24"/>
      <c r="B72" s="57"/>
      <c r="D72" s="59"/>
      <c r="E72" s="59"/>
      <c r="F72" s="24"/>
      <c r="G72" s="60"/>
      <c r="H72" s="61"/>
      <c r="I72" s="24"/>
      <c r="J72" s="57"/>
      <c r="K72" s="57"/>
      <c r="L72" s="57"/>
      <c r="M72" s="57"/>
    </row>
    <row r="73" ht="15.75" customHeight="1">
      <c r="A73" s="24"/>
      <c r="B73" s="57"/>
      <c r="D73" s="59"/>
      <c r="E73" s="59"/>
      <c r="F73" s="24"/>
      <c r="G73" s="60"/>
      <c r="H73" s="61"/>
      <c r="I73" s="24"/>
      <c r="J73" s="57"/>
      <c r="K73" s="57"/>
      <c r="L73" s="57"/>
      <c r="M73" s="57"/>
    </row>
    <row r="74" ht="15.75" customHeight="1">
      <c r="A74" s="24"/>
      <c r="B74" s="57"/>
      <c r="D74" s="59"/>
      <c r="E74" s="59"/>
      <c r="F74" s="24"/>
      <c r="G74" s="60"/>
      <c r="H74" s="61"/>
      <c r="I74" s="24"/>
      <c r="J74" s="57"/>
      <c r="K74" s="57"/>
      <c r="L74" s="57"/>
      <c r="M74" s="57"/>
    </row>
    <row r="75" ht="15.75" customHeight="1">
      <c r="A75" s="24"/>
      <c r="B75" s="57"/>
      <c r="D75" s="59"/>
      <c r="E75" s="59"/>
      <c r="F75" s="24"/>
      <c r="G75" s="60"/>
      <c r="H75" s="61"/>
      <c r="I75" s="24"/>
      <c r="J75" s="57"/>
      <c r="K75" s="57"/>
      <c r="L75" s="57"/>
      <c r="M75" s="57"/>
    </row>
    <row r="76" ht="15.75" customHeight="1">
      <c r="A76" s="24"/>
      <c r="B76" s="57"/>
      <c r="D76" s="59"/>
      <c r="E76" s="59"/>
      <c r="F76" s="24"/>
      <c r="G76" s="60"/>
      <c r="H76" s="61"/>
      <c r="I76" s="24"/>
      <c r="J76" s="57"/>
      <c r="K76" s="57"/>
      <c r="L76" s="57"/>
      <c r="M76" s="57"/>
    </row>
    <row r="77" ht="15.75" customHeight="1">
      <c r="A77" s="24"/>
      <c r="B77" s="57"/>
      <c r="D77" s="59"/>
      <c r="E77" s="59"/>
      <c r="F77" s="24"/>
      <c r="G77" s="60"/>
      <c r="H77" s="61"/>
      <c r="I77" s="24"/>
      <c r="J77" s="57"/>
      <c r="K77" s="57"/>
      <c r="L77" s="57"/>
      <c r="M77" s="57"/>
    </row>
    <row r="78" ht="15.75" customHeight="1">
      <c r="A78" s="24"/>
      <c r="B78" s="57"/>
      <c r="D78" s="59"/>
      <c r="E78" s="59"/>
      <c r="F78" s="24"/>
      <c r="G78" s="60"/>
      <c r="H78" s="61"/>
      <c r="I78" s="24"/>
      <c r="J78" s="57"/>
      <c r="K78" s="57"/>
      <c r="L78" s="57"/>
      <c r="M78" s="57"/>
    </row>
    <row r="79" ht="15.75" customHeight="1">
      <c r="A79" s="24"/>
      <c r="B79" s="57"/>
      <c r="D79" s="59"/>
      <c r="E79" s="59"/>
      <c r="F79" s="24"/>
      <c r="G79" s="60"/>
      <c r="H79" s="61"/>
      <c r="I79" s="24"/>
      <c r="J79" s="57"/>
      <c r="K79" s="57"/>
      <c r="L79" s="57"/>
      <c r="M79" s="57"/>
    </row>
    <row r="80" ht="15.75" customHeight="1">
      <c r="A80" s="24"/>
      <c r="B80" s="57"/>
      <c r="D80" s="59"/>
      <c r="E80" s="59"/>
      <c r="F80" s="24"/>
      <c r="G80" s="60"/>
      <c r="H80" s="61"/>
      <c r="I80" s="24"/>
      <c r="J80" s="57"/>
      <c r="K80" s="57"/>
      <c r="L80" s="57"/>
      <c r="M80" s="57"/>
    </row>
    <row r="81" ht="15.75" customHeight="1">
      <c r="A81" s="24"/>
      <c r="B81" s="57"/>
      <c r="D81" s="59"/>
      <c r="E81" s="59"/>
      <c r="F81" s="24"/>
      <c r="G81" s="60"/>
      <c r="H81" s="61"/>
      <c r="I81" s="24"/>
      <c r="J81" s="57"/>
      <c r="K81" s="57"/>
      <c r="L81" s="57"/>
      <c r="M81" s="57"/>
    </row>
    <row r="82" ht="15.75" customHeight="1">
      <c r="A82" s="24"/>
      <c r="B82" s="57"/>
      <c r="D82" s="59"/>
      <c r="E82" s="59"/>
      <c r="F82" s="24"/>
      <c r="G82" s="60"/>
      <c r="H82" s="61"/>
      <c r="I82" s="24"/>
      <c r="J82" s="57"/>
      <c r="K82" s="57"/>
      <c r="L82" s="57"/>
      <c r="M82" s="57"/>
    </row>
    <row r="83" ht="15.75" customHeight="1">
      <c r="A83" s="24"/>
      <c r="B83" s="57"/>
      <c r="D83" s="59"/>
      <c r="E83" s="59"/>
      <c r="F83" s="24"/>
      <c r="G83" s="60"/>
      <c r="H83" s="61"/>
      <c r="I83" s="24"/>
      <c r="J83" s="57"/>
      <c r="K83" s="57"/>
      <c r="L83" s="57"/>
      <c r="M83" s="57"/>
    </row>
    <row r="84" ht="15.75" customHeight="1">
      <c r="A84" s="24"/>
      <c r="B84" s="57"/>
      <c r="D84" s="59"/>
      <c r="E84" s="59"/>
      <c r="F84" s="24"/>
      <c r="G84" s="60"/>
      <c r="H84" s="61"/>
      <c r="I84" s="24"/>
      <c r="J84" s="57"/>
      <c r="K84" s="57"/>
      <c r="L84" s="57"/>
      <c r="M84" s="57"/>
    </row>
    <row r="85" ht="15.75" customHeight="1">
      <c r="A85" s="24"/>
      <c r="B85" s="57"/>
      <c r="D85" s="59"/>
      <c r="E85" s="59"/>
      <c r="F85" s="24"/>
      <c r="G85" s="60"/>
      <c r="H85" s="61"/>
      <c r="I85" s="24"/>
      <c r="J85" s="57"/>
      <c r="K85" s="57"/>
      <c r="L85" s="57"/>
      <c r="M85" s="57"/>
    </row>
    <row r="86" ht="15.75" customHeight="1">
      <c r="A86" s="24"/>
      <c r="B86" s="57"/>
      <c r="D86" s="59"/>
      <c r="E86" s="59"/>
      <c r="F86" s="24"/>
      <c r="G86" s="60"/>
      <c r="H86" s="61"/>
      <c r="I86" s="24"/>
      <c r="J86" s="57"/>
      <c r="K86" s="57"/>
      <c r="L86" s="57"/>
      <c r="M86" s="57"/>
    </row>
    <row r="87" ht="15.75" customHeight="1">
      <c r="A87" s="24"/>
      <c r="B87" s="57"/>
      <c r="D87" s="59"/>
      <c r="E87" s="59"/>
      <c r="F87" s="24"/>
      <c r="G87" s="60"/>
      <c r="H87" s="61"/>
      <c r="I87" s="24"/>
      <c r="J87" s="57"/>
      <c r="K87" s="57"/>
      <c r="L87" s="57"/>
      <c r="M87" s="57"/>
    </row>
    <row r="88" ht="15.75" customHeight="1">
      <c r="A88" s="24"/>
      <c r="B88" s="57"/>
      <c r="D88" s="59"/>
      <c r="E88" s="59"/>
      <c r="F88" s="24"/>
      <c r="G88" s="60"/>
      <c r="H88" s="61"/>
      <c r="I88" s="24"/>
      <c r="J88" s="57"/>
      <c r="K88" s="57"/>
      <c r="L88" s="57"/>
      <c r="M88" s="57"/>
    </row>
    <row r="89" ht="15.75" customHeight="1">
      <c r="A89" s="24"/>
      <c r="B89" s="57"/>
      <c r="D89" s="59"/>
      <c r="E89" s="59"/>
      <c r="F89" s="24"/>
      <c r="G89" s="60"/>
      <c r="H89" s="61"/>
      <c r="I89" s="24"/>
      <c r="J89" s="57"/>
      <c r="K89" s="57"/>
      <c r="L89" s="57"/>
      <c r="M89" s="57"/>
    </row>
    <row r="90" ht="15.75" customHeight="1">
      <c r="A90" s="24"/>
      <c r="B90" s="57"/>
      <c r="D90" s="59"/>
      <c r="E90" s="59"/>
      <c r="F90" s="24"/>
      <c r="G90" s="60"/>
      <c r="H90" s="61"/>
      <c r="I90" s="24"/>
      <c r="J90" s="57"/>
      <c r="K90" s="57"/>
      <c r="L90" s="57"/>
      <c r="M90" s="57"/>
    </row>
    <row r="91" ht="15.75" customHeight="1">
      <c r="A91" s="24"/>
      <c r="B91" s="57"/>
      <c r="D91" s="59"/>
      <c r="E91" s="59"/>
      <c r="F91" s="24"/>
      <c r="G91" s="60"/>
      <c r="H91" s="61"/>
      <c r="I91" s="24"/>
      <c r="J91" s="57"/>
      <c r="K91" s="57"/>
      <c r="L91" s="57"/>
      <c r="M91" s="57"/>
    </row>
    <row r="92" ht="15.75" customHeight="1">
      <c r="A92" s="24"/>
      <c r="B92" s="57"/>
      <c r="D92" s="59"/>
      <c r="E92" s="59"/>
      <c r="F92" s="24"/>
      <c r="G92" s="60"/>
      <c r="H92" s="61"/>
      <c r="I92" s="24"/>
      <c r="J92" s="57"/>
      <c r="K92" s="57"/>
      <c r="L92" s="57"/>
      <c r="M92" s="57"/>
    </row>
    <row r="93" ht="15.75" customHeight="1">
      <c r="A93" s="24"/>
      <c r="B93" s="57"/>
      <c r="D93" s="59"/>
      <c r="E93" s="59"/>
      <c r="F93" s="24"/>
      <c r="G93" s="60"/>
      <c r="H93" s="61"/>
      <c r="I93" s="24"/>
      <c r="J93" s="57"/>
      <c r="K93" s="57"/>
      <c r="L93" s="57"/>
      <c r="M93" s="57"/>
    </row>
    <row r="94" ht="15.75" customHeight="1">
      <c r="A94" s="24"/>
      <c r="B94" s="57"/>
      <c r="D94" s="59"/>
      <c r="E94" s="59"/>
      <c r="F94" s="24"/>
      <c r="G94" s="60"/>
      <c r="H94" s="61"/>
      <c r="I94" s="24"/>
      <c r="J94" s="57"/>
      <c r="K94" s="57"/>
      <c r="L94" s="57"/>
      <c r="M94" s="57"/>
    </row>
    <row r="95" ht="15.75" customHeight="1">
      <c r="A95" s="24"/>
      <c r="B95" s="57"/>
      <c r="D95" s="59"/>
      <c r="E95" s="59"/>
      <c r="F95" s="24"/>
      <c r="G95" s="60"/>
      <c r="H95" s="61"/>
      <c r="I95" s="24"/>
      <c r="J95" s="57"/>
      <c r="K95" s="57"/>
      <c r="L95" s="57"/>
      <c r="M95" s="57"/>
    </row>
    <row r="96" ht="15.75" customHeight="1">
      <c r="A96" s="24"/>
      <c r="B96" s="57"/>
      <c r="D96" s="59"/>
      <c r="E96" s="59"/>
      <c r="F96" s="24"/>
      <c r="G96" s="60"/>
      <c r="H96" s="61"/>
      <c r="I96" s="24"/>
      <c r="J96" s="57"/>
      <c r="K96" s="57"/>
      <c r="L96" s="57"/>
      <c r="M96" s="57"/>
    </row>
    <row r="97" ht="15.75" customHeight="1">
      <c r="A97" s="24"/>
      <c r="B97" s="57"/>
      <c r="D97" s="59"/>
      <c r="E97" s="59"/>
      <c r="F97" s="24"/>
      <c r="G97" s="60"/>
      <c r="H97" s="61"/>
      <c r="I97" s="24"/>
      <c r="J97" s="57"/>
      <c r="K97" s="57"/>
      <c r="L97" s="57"/>
      <c r="M97" s="57"/>
    </row>
    <row r="98" ht="15.75" customHeight="1">
      <c r="A98" s="24"/>
      <c r="B98" s="57"/>
      <c r="D98" s="59"/>
      <c r="E98" s="59"/>
      <c r="F98" s="24"/>
      <c r="G98" s="60"/>
      <c r="H98" s="61"/>
      <c r="I98" s="24"/>
      <c r="J98" s="57"/>
      <c r="K98" s="57"/>
      <c r="L98" s="57"/>
      <c r="M98" s="57"/>
    </row>
    <row r="99" ht="15.75" customHeight="1">
      <c r="A99" s="24"/>
      <c r="B99" s="57"/>
      <c r="D99" s="59"/>
      <c r="E99" s="59"/>
      <c r="F99" s="24"/>
      <c r="G99" s="60"/>
      <c r="H99" s="61"/>
      <c r="I99" s="24"/>
      <c r="J99" s="57"/>
      <c r="K99" s="57"/>
      <c r="L99" s="57"/>
      <c r="M99" s="57"/>
    </row>
    <row r="100" ht="15.75" customHeight="1">
      <c r="A100" s="24"/>
      <c r="B100" s="57"/>
      <c r="D100" s="59"/>
      <c r="E100" s="59"/>
      <c r="F100" s="24"/>
      <c r="G100" s="60"/>
      <c r="H100" s="61"/>
      <c r="I100" s="24"/>
      <c r="J100" s="57"/>
      <c r="K100" s="57"/>
      <c r="L100" s="57"/>
      <c r="M100" s="57"/>
    </row>
    <row r="101" ht="15.75" customHeight="1">
      <c r="A101" s="24"/>
      <c r="B101" s="57"/>
      <c r="D101" s="59"/>
      <c r="E101" s="59"/>
      <c r="F101" s="24"/>
      <c r="G101" s="60"/>
      <c r="H101" s="61"/>
      <c r="I101" s="24"/>
      <c r="J101" s="57"/>
      <c r="K101" s="57"/>
      <c r="L101" s="57"/>
      <c r="M101" s="57"/>
    </row>
    <row r="102" ht="15.75" customHeight="1">
      <c r="A102" s="24"/>
      <c r="B102" s="57"/>
      <c r="D102" s="59"/>
      <c r="E102" s="59"/>
      <c r="F102" s="24"/>
      <c r="G102" s="60"/>
      <c r="H102" s="61"/>
      <c r="I102" s="24"/>
      <c r="J102" s="57"/>
      <c r="K102" s="57"/>
      <c r="L102" s="57"/>
      <c r="M102" s="57"/>
    </row>
    <row r="103" ht="15.75" customHeight="1">
      <c r="A103" s="24"/>
      <c r="B103" s="57"/>
      <c r="D103" s="59"/>
      <c r="E103" s="59"/>
      <c r="F103" s="24"/>
      <c r="G103" s="60"/>
      <c r="H103" s="61"/>
      <c r="I103" s="24"/>
      <c r="J103" s="57"/>
      <c r="K103" s="57"/>
      <c r="L103" s="57"/>
      <c r="M103" s="57"/>
    </row>
    <row r="104" ht="15.75" customHeight="1">
      <c r="A104" s="24"/>
      <c r="B104" s="57"/>
      <c r="D104" s="59"/>
      <c r="E104" s="59"/>
      <c r="F104" s="24"/>
      <c r="G104" s="60"/>
      <c r="H104" s="61"/>
      <c r="I104" s="24"/>
      <c r="J104" s="57"/>
      <c r="K104" s="57"/>
      <c r="L104" s="57"/>
      <c r="M104" s="57"/>
    </row>
    <row r="105" ht="15.75" customHeight="1">
      <c r="A105" s="24"/>
      <c r="B105" s="57"/>
      <c r="D105" s="59"/>
      <c r="E105" s="59"/>
      <c r="F105" s="24"/>
      <c r="G105" s="60"/>
      <c r="H105" s="61"/>
      <c r="I105" s="24"/>
      <c r="J105" s="57"/>
      <c r="K105" s="57"/>
      <c r="L105" s="57"/>
      <c r="M105" s="57"/>
    </row>
    <row r="106" ht="15.75" customHeight="1">
      <c r="A106" s="24"/>
      <c r="B106" s="57"/>
      <c r="D106" s="59"/>
      <c r="E106" s="59"/>
      <c r="F106" s="24"/>
      <c r="G106" s="60"/>
      <c r="H106" s="61"/>
      <c r="I106" s="24"/>
      <c r="J106" s="57"/>
      <c r="K106" s="57"/>
      <c r="L106" s="57"/>
      <c r="M106" s="57"/>
    </row>
    <row r="107" ht="15.75" customHeight="1">
      <c r="A107" s="24"/>
      <c r="B107" s="57"/>
      <c r="D107" s="59"/>
      <c r="E107" s="59"/>
      <c r="F107" s="24"/>
      <c r="G107" s="60"/>
      <c r="H107" s="61"/>
      <c r="I107" s="24"/>
      <c r="J107" s="57"/>
      <c r="K107" s="57"/>
      <c r="L107" s="57"/>
      <c r="M107" s="57"/>
    </row>
    <row r="108" ht="15.75" customHeight="1">
      <c r="A108" s="24"/>
      <c r="B108" s="57"/>
      <c r="D108" s="59"/>
      <c r="E108" s="59"/>
      <c r="F108" s="24"/>
      <c r="G108" s="60"/>
      <c r="H108" s="61"/>
      <c r="I108" s="24"/>
      <c r="J108" s="57"/>
      <c r="K108" s="57"/>
      <c r="L108" s="57"/>
      <c r="M108" s="57"/>
    </row>
    <row r="109" ht="15.75" customHeight="1">
      <c r="A109" s="24"/>
      <c r="B109" s="57"/>
      <c r="D109" s="59"/>
      <c r="E109" s="59"/>
      <c r="F109" s="24"/>
      <c r="G109" s="60"/>
      <c r="H109" s="61"/>
      <c r="I109" s="24"/>
      <c r="J109" s="57"/>
      <c r="K109" s="57"/>
      <c r="L109" s="57"/>
      <c r="M109" s="57"/>
    </row>
    <row r="110" ht="15.75" customHeight="1">
      <c r="A110" s="24"/>
      <c r="B110" s="57"/>
      <c r="D110" s="59"/>
      <c r="E110" s="59"/>
      <c r="F110" s="24"/>
      <c r="G110" s="60"/>
      <c r="H110" s="61"/>
      <c r="I110" s="24"/>
      <c r="J110" s="57"/>
      <c r="K110" s="57"/>
      <c r="L110" s="57"/>
      <c r="M110" s="57"/>
    </row>
    <row r="111" ht="15.75" customHeight="1">
      <c r="A111" s="24"/>
      <c r="B111" s="57"/>
      <c r="D111" s="59"/>
      <c r="E111" s="59"/>
      <c r="F111" s="24"/>
      <c r="G111" s="60"/>
      <c r="H111" s="61"/>
      <c r="I111" s="24"/>
      <c r="J111" s="57"/>
      <c r="K111" s="57"/>
      <c r="L111" s="57"/>
      <c r="M111" s="57"/>
    </row>
    <row r="112" ht="15.75" customHeight="1">
      <c r="A112" s="24"/>
      <c r="B112" s="57"/>
      <c r="D112" s="59"/>
      <c r="E112" s="59"/>
      <c r="F112" s="24"/>
      <c r="G112" s="60"/>
      <c r="H112" s="61"/>
      <c r="I112" s="24"/>
      <c r="J112" s="57"/>
      <c r="K112" s="57"/>
      <c r="L112" s="57"/>
      <c r="M112" s="57"/>
    </row>
    <row r="113" ht="15.75" customHeight="1">
      <c r="A113" s="24"/>
      <c r="B113" s="57"/>
      <c r="D113" s="59"/>
      <c r="E113" s="59"/>
      <c r="F113" s="24"/>
      <c r="G113" s="60"/>
      <c r="H113" s="61"/>
      <c r="I113" s="24"/>
      <c r="J113" s="57"/>
      <c r="K113" s="57"/>
      <c r="L113" s="57"/>
      <c r="M113" s="57"/>
    </row>
    <row r="114" ht="15.75" customHeight="1">
      <c r="A114" s="24"/>
      <c r="B114" s="57"/>
      <c r="D114" s="59"/>
      <c r="E114" s="59"/>
      <c r="F114" s="24"/>
      <c r="G114" s="60"/>
      <c r="H114" s="61"/>
      <c r="I114" s="24"/>
      <c r="J114" s="57"/>
      <c r="K114" s="57"/>
      <c r="L114" s="57"/>
      <c r="M114" s="57"/>
    </row>
    <row r="115" ht="15.75" customHeight="1">
      <c r="A115" s="24"/>
      <c r="B115" s="57"/>
      <c r="D115" s="59"/>
      <c r="E115" s="59"/>
      <c r="F115" s="24"/>
      <c r="G115" s="60"/>
      <c r="H115" s="61"/>
      <c r="I115" s="24"/>
      <c r="J115" s="57"/>
      <c r="K115" s="57"/>
      <c r="L115" s="57"/>
      <c r="M115" s="57"/>
    </row>
    <row r="116" ht="15.75" customHeight="1">
      <c r="A116" s="24"/>
      <c r="B116" s="57"/>
      <c r="D116" s="59"/>
      <c r="E116" s="59"/>
      <c r="F116" s="24"/>
      <c r="G116" s="60"/>
      <c r="H116" s="61"/>
      <c r="I116" s="24"/>
      <c r="J116" s="57"/>
      <c r="K116" s="57"/>
      <c r="L116" s="57"/>
      <c r="M116" s="57"/>
    </row>
    <row r="117" ht="15.75" customHeight="1">
      <c r="A117" s="24"/>
      <c r="B117" s="57"/>
      <c r="D117" s="59"/>
      <c r="E117" s="59"/>
      <c r="F117" s="24"/>
      <c r="G117" s="60"/>
      <c r="H117" s="61"/>
      <c r="I117" s="24"/>
      <c r="J117" s="57"/>
      <c r="K117" s="57"/>
      <c r="L117" s="57"/>
      <c r="M117" s="57"/>
    </row>
    <row r="118" ht="15.75" customHeight="1">
      <c r="A118" s="24"/>
      <c r="B118" s="57"/>
      <c r="D118" s="59"/>
      <c r="E118" s="59"/>
      <c r="F118" s="24"/>
      <c r="G118" s="60"/>
      <c r="H118" s="61"/>
      <c r="I118" s="24"/>
      <c r="J118" s="57"/>
      <c r="K118" s="57"/>
      <c r="L118" s="57"/>
      <c r="M118" s="57"/>
    </row>
    <row r="119" ht="15.75" customHeight="1">
      <c r="A119" s="24"/>
      <c r="B119" s="57"/>
      <c r="D119" s="59"/>
      <c r="E119" s="59"/>
      <c r="F119" s="24"/>
      <c r="G119" s="60"/>
      <c r="H119" s="61"/>
      <c r="I119" s="24"/>
      <c r="J119" s="57"/>
      <c r="K119" s="57"/>
      <c r="L119" s="57"/>
      <c r="M119" s="57"/>
    </row>
    <row r="120" ht="15.75" customHeight="1">
      <c r="A120" s="24"/>
      <c r="B120" s="57"/>
      <c r="D120" s="59"/>
      <c r="E120" s="59"/>
      <c r="F120" s="24"/>
      <c r="G120" s="60"/>
      <c r="H120" s="61"/>
      <c r="I120" s="24"/>
      <c r="J120" s="57"/>
      <c r="K120" s="57"/>
      <c r="L120" s="57"/>
      <c r="M120" s="57"/>
    </row>
    <row r="121" ht="15.75" customHeight="1">
      <c r="A121" s="24"/>
      <c r="B121" s="57"/>
      <c r="D121" s="59"/>
      <c r="E121" s="59"/>
      <c r="F121" s="24"/>
      <c r="G121" s="60"/>
      <c r="H121" s="61"/>
      <c r="I121" s="24"/>
      <c r="J121" s="57"/>
      <c r="K121" s="57"/>
      <c r="L121" s="57"/>
      <c r="M121" s="57"/>
    </row>
    <row r="122" ht="15.75" customHeight="1">
      <c r="A122" s="24"/>
      <c r="B122" s="57"/>
      <c r="D122" s="59"/>
      <c r="E122" s="59"/>
      <c r="F122" s="24"/>
      <c r="G122" s="60"/>
      <c r="H122" s="61"/>
      <c r="I122" s="24"/>
      <c r="J122" s="57"/>
      <c r="K122" s="57"/>
      <c r="L122" s="57"/>
      <c r="M122" s="57"/>
    </row>
    <row r="123" ht="15.75" customHeight="1">
      <c r="A123" s="24"/>
      <c r="B123" s="57"/>
      <c r="D123" s="59"/>
      <c r="E123" s="59"/>
      <c r="F123" s="24"/>
      <c r="G123" s="60"/>
      <c r="H123" s="61"/>
      <c r="I123" s="24"/>
      <c r="J123" s="57"/>
      <c r="K123" s="57"/>
      <c r="L123" s="57"/>
      <c r="M123" s="57"/>
    </row>
    <row r="124" ht="15.75" customHeight="1">
      <c r="A124" s="24"/>
      <c r="B124" s="57"/>
      <c r="D124" s="59"/>
      <c r="E124" s="59"/>
      <c r="F124" s="24"/>
      <c r="G124" s="60"/>
      <c r="H124" s="61"/>
      <c r="I124" s="24"/>
      <c r="J124" s="57"/>
      <c r="K124" s="57"/>
      <c r="L124" s="57"/>
      <c r="M124" s="57"/>
    </row>
    <row r="125" ht="15.75" customHeight="1">
      <c r="A125" s="24"/>
      <c r="B125" s="57"/>
      <c r="D125" s="59"/>
      <c r="E125" s="59"/>
      <c r="F125" s="24"/>
      <c r="G125" s="60"/>
      <c r="H125" s="61"/>
      <c r="I125" s="24"/>
      <c r="J125" s="57"/>
      <c r="K125" s="57"/>
      <c r="L125" s="57"/>
      <c r="M125" s="57"/>
    </row>
    <row r="126" ht="15.75" customHeight="1">
      <c r="A126" s="24"/>
      <c r="B126" s="57"/>
      <c r="D126" s="59"/>
      <c r="E126" s="59"/>
      <c r="F126" s="24"/>
      <c r="G126" s="60"/>
      <c r="H126" s="61"/>
      <c r="I126" s="24"/>
      <c r="J126" s="57"/>
      <c r="K126" s="57"/>
      <c r="L126" s="57"/>
      <c r="M126" s="57"/>
    </row>
    <row r="127" ht="15.75" customHeight="1">
      <c r="A127" s="24"/>
      <c r="B127" s="57"/>
      <c r="D127" s="59"/>
      <c r="E127" s="59"/>
      <c r="F127" s="24"/>
      <c r="G127" s="60"/>
      <c r="H127" s="61"/>
      <c r="I127" s="24"/>
      <c r="J127" s="57"/>
      <c r="K127" s="57"/>
      <c r="L127" s="57"/>
      <c r="M127" s="57"/>
    </row>
    <row r="128" ht="15.75" customHeight="1">
      <c r="A128" s="24"/>
      <c r="B128" s="57"/>
      <c r="D128" s="59"/>
      <c r="E128" s="59"/>
      <c r="F128" s="24"/>
      <c r="G128" s="60"/>
      <c r="H128" s="61"/>
      <c r="I128" s="24"/>
      <c r="J128" s="57"/>
      <c r="K128" s="57"/>
      <c r="L128" s="57"/>
      <c r="M128" s="57"/>
    </row>
    <row r="129" ht="15.75" customHeight="1">
      <c r="A129" s="24"/>
      <c r="B129" s="57"/>
      <c r="D129" s="59"/>
      <c r="E129" s="59"/>
      <c r="F129" s="24"/>
      <c r="G129" s="60"/>
      <c r="H129" s="61"/>
      <c r="I129" s="24"/>
      <c r="J129" s="57"/>
      <c r="K129" s="57"/>
      <c r="L129" s="57"/>
      <c r="M129" s="57"/>
    </row>
    <row r="130" ht="15.75" customHeight="1">
      <c r="A130" s="24"/>
      <c r="B130" s="57"/>
      <c r="D130" s="59"/>
      <c r="E130" s="59"/>
      <c r="F130" s="24"/>
      <c r="G130" s="60"/>
      <c r="H130" s="61"/>
      <c r="I130" s="24"/>
      <c r="J130" s="57"/>
      <c r="K130" s="57"/>
      <c r="L130" s="57"/>
      <c r="M130" s="57"/>
    </row>
    <row r="131" ht="15.75" customHeight="1">
      <c r="A131" s="24"/>
      <c r="B131" s="57"/>
      <c r="D131" s="59"/>
      <c r="E131" s="59"/>
      <c r="F131" s="24"/>
      <c r="G131" s="60"/>
      <c r="H131" s="61"/>
      <c r="I131" s="24"/>
      <c r="J131" s="57"/>
      <c r="K131" s="57"/>
      <c r="L131" s="57"/>
      <c r="M131" s="57"/>
    </row>
    <row r="132" ht="15.75" customHeight="1">
      <c r="A132" s="24"/>
      <c r="B132" s="57"/>
      <c r="D132" s="59"/>
      <c r="E132" s="59"/>
      <c r="F132" s="24"/>
      <c r="G132" s="60"/>
      <c r="H132" s="61"/>
      <c r="I132" s="24"/>
      <c r="J132" s="57"/>
      <c r="K132" s="57"/>
      <c r="L132" s="57"/>
      <c r="M132" s="57"/>
    </row>
    <row r="133" ht="15.75" customHeight="1">
      <c r="A133" s="24"/>
      <c r="B133" s="57"/>
      <c r="D133" s="59"/>
      <c r="E133" s="59"/>
      <c r="F133" s="24"/>
      <c r="G133" s="60"/>
      <c r="H133" s="61"/>
      <c r="I133" s="24"/>
      <c r="J133" s="57"/>
      <c r="K133" s="57"/>
      <c r="L133" s="57"/>
      <c r="M133" s="57"/>
    </row>
    <row r="134" ht="15.75" customHeight="1">
      <c r="A134" s="24"/>
      <c r="B134" s="57"/>
      <c r="D134" s="59"/>
      <c r="E134" s="59"/>
      <c r="F134" s="24"/>
      <c r="G134" s="60"/>
      <c r="H134" s="61"/>
      <c r="I134" s="24"/>
      <c r="J134" s="57"/>
      <c r="K134" s="57"/>
      <c r="L134" s="57"/>
      <c r="M134" s="57"/>
    </row>
    <row r="135" ht="15.75" customHeight="1">
      <c r="A135" s="24"/>
      <c r="B135" s="57"/>
      <c r="D135" s="59"/>
      <c r="E135" s="59"/>
      <c r="F135" s="24"/>
      <c r="G135" s="60"/>
      <c r="H135" s="61"/>
      <c r="I135" s="24"/>
      <c r="J135" s="57"/>
      <c r="K135" s="57"/>
      <c r="L135" s="57"/>
      <c r="M135" s="57"/>
    </row>
    <row r="136" ht="15.75" customHeight="1">
      <c r="A136" s="24"/>
      <c r="B136" s="57"/>
      <c r="D136" s="59"/>
      <c r="E136" s="59"/>
      <c r="F136" s="24"/>
      <c r="G136" s="60"/>
      <c r="H136" s="61"/>
      <c r="I136" s="24"/>
      <c r="J136" s="57"/>
      <c r="K136" s="57"/>
      <c r="L136" s="57"/>
      <c r="M136" s="57"/>
    </row>
    <row r="137" ht="15.75" customHeight="1">
      <c r="A137" s="24"/>
      <c r="B137" s="57"/>
      <c r="D137" s="59"/>
      <c r="E137" s="59"/>
      <c r="F137" s="24"/>
      <c r="G137" s="60"/>
      <c r="H137" s="61"/>
      <c r="I137" s="24"/>
      <c r="J137" s="57"/>
      <c r="K137" s="57"/>
      <c r="L137" s="57"/>
      <c r="M137" s="57"/>
    </row>
    <row r="138" ht="15.75" customHeight="1">
      <c r="A138" s="24"/>
      <c r="B138" s="57"/>
      <c r="D138" s="59"/>
      <c r="E138" s="59"/>
      <c r="F138" s="24"/>
      <c r="G138" s="60"/>
      <c r="H138" s="61"/>
      <c r="I138" s="24"/>
      <c r="J138" s="57"/>
      <c r="K138" s="57"/>
      <c r="L138" s="57"/>
      <c r="M138" s="57"/>
    </row>
    <row r="139" ht="15.75" customHeight="1">
      <c r="A139" s="24"/>
      <c r="B139" s="57"/>
      <c r="D139" s="59"/>
      <c r="E139" s="59"/>
      <c r="F139" s="24"/>
      <c r="G139" s="60"/>
      <c r="H139" s="61"/>
      <c r="I139" s="24"/>
      <c r="J139" s="57"/>
      <c r="K139" s="57"/>
      <c r="L139" s="57"/>
      <c r="M139" s="57"/>
    </row>
    <row r="140" ht="15.75" customHeight="1">
      <c r="A140" s="24"/>
      <c r="B140" s="57"/>
      <c r="D140" s="59"/>
      <c r="E140" s="59"/>
      <c r="F140" s="24"/>
      <c r="G140" s="60"/>
      <c r="H140" s="61"/>
      <c r="I140" s="24"/>
      <c r="J140" s="57"/>
      <c r="K140" s="57"/>
      <c r="L140" s="57"/>
      <c r="M140" s="57"/>
    </row>
    <row r="141" ht="15.75" customHeight="1">
      <c r="A141" s="24"/>
      <c r="B141" s="57"/>
      <c r="D141" s="59"/>
      <c r="E141" s="59"/>
      <c r="F141" s="24"/>
      <c r="G141" s="60"/>
      <c r="H141" s="61"/>
      <c r="I141" s="24"/>
      <c r="J141" s="57"/>
      <c r="K141" s="57"/>
      <c r="L141" s="57"/>
      <c r="M141" s="57"/>
    </row>
    <row r="142" ht="15.75" customHeight="1">
      <c r="A142" s="24"/>
      <c r="B142" s="57"/>
      <c r="D142" s="59"/>
      <c r="E142" s="59"/>
      <c r="F142" s="24"/>
      <c r="G142" s="60"/>
      <c r="H142" s="61"/>
      <c r="I142" s="24"/>
      <c r="J142" s="57"/>
      <c r="K142" s="57"/>
      <c r="L142" s="57"/>
      <c r="M142" s="57"/>
    </row>
    <row r="143" ht="15.75" customHeight="1">
      <c r="A143" s="24"/>
      <c r="B143" s="57"/>
      <c r="D143" s="59"/>
      <c r="E143" s="59"/>
      <c r="F143" s="24"/>
      <c r="G143" s="60"/>
      <c r="H143" s="61"/>
      <c r="I143" s="24"/>
      <c r="J143" s="57"/>
      <c r="K143" s="57"/>
      <c r="L143" s="57"/>
      <c r="M143" s="57"/>
    </row>
    <row r="144" ht="15.75" customHeight="1">
      <c r="A144" s="24"/>
      <c r="B144" s="57"/>
      <c r="D144" s="59"/>
      <c r="E144" s="59"/>
      <c r="F144" s="24"/>
      <c r="G144" s="60"/>
      <c r="H144" s="61"/>
      <c r="I144" s="24"/>
      <c r="J144" s="57"/>
      <c r="K144" s="57"/>
      <c r="L144" s="57"/>
      <c r="M144" s="57"/>
    </row>
    <row r="145" ht="15.75" customHeight="1">
      <c r="A145" s="24"/>
      <c r="B145" s="57"/>
      <c r="D145" s="59"/>
      <c r="E145" s="59"/>
      <c r="F145" s="24"/>
      <c r="G145" s="60"/>
      <c r="H145" s="61"/>
      <c r="I145" s="24"/>
      <c r="J145" s="57"/>
      <c r="K145" s="57"/>
      <c r="L145" s="57"/>
      <c r="M145" s="57"/>
    </row>
    <row r="146" ht="15.75" customHeight="1">
      <c r="A146" s="24"/>
      <c r="B146" s="57"/>
      <c r="D146" s="59"/>
      <c r="E146" s="59"/>
      <c r="F146" s="24"/>
      <c r="G146" s="60"/>
      <c r="H146" s="61"/>
      <c r="I146" s="24"/>
      <c r="J146" s="57"/>
      <c r="K146" s="57"/>
      <c r="L146" s="57"/>
      <c r="M146" s="57"/>
    </row>
    <row r="147" ht="15.75" customHeight="1">
      <c r="A147" s="24"/>
      <c r="B147" s="57"/>
      <c r="D147" s="59"/>
      <c r="E147" s="59"/>
      <c r="F147" s="24"/>
      <c r="G147" s="60"/>
      <c r="H147" s="61"/>
      <c r="I147" s="24"/>
      <c r="J147" s="57"/>
      <c r="K147" s="57"/>
      <c r="L147" s="57"/>
      <c r="M147" s="57"/>
    </row>
    <row r="148" ht="15.75" customHeight="1">
      <c r="A148" s="24"/>
      <c r="B148" s="57"/>
      <c r="D148" s="59"/>
      <c r="E148" s="59"/>
      <c r="F148" s="24"/>
      <c r="G148" s="60"/>
      <c r="H148" s="61"/>
      <c r="I148" s="24"/>
      <c r="J148" s="57"/>
      <c r="K148" s="57"/>
      <c r="L148" s="57"/>
      <c r="M148" s="57"/>
    </row>
    <row r="149" ht="15.75" customHeight="1">
      <c r="A149" s="24"/>
      <c r="B149" s="57"/>
      <c r="D149" s="59"/>
      <c r="E149" s="59"/>
      <c r="F149" s="24"/>
      <c r="G149" s="60"/>
      <c r="H149" s="61"/>
      <c r="I149" s="24"/>
      <c r="J149" s="57"/>
      <c r="K149" s="57"/>
      <c r="L149" s="57"/>
      <c r="M149" s="57"/>
    </row>
    <row r="150" ht="15.75" customHeight="1">
      <c r="A150" s="24"/>
      <c r="B150" s="57"/>
      <c r="D150" s="59"/>
      <c r="E150" s="59"/>
      <c r="F150" s="24"/>
      <c r="G150" s="60"/>
      <c r="H150" s="61"/>
      <c r="I150" s="24"/>
      <c r="J150" s="57"/>
      <c r="K150" s="57"/>
      <c r="L150" s="57"/>
      <c r="M150" s="57"/>
    </row>
    <row r="151" ht="15.75" customHeight="1">
      <c r="A151" s="24"/>
      <c r="B151" s="57"/>
      <c r="D151" s="59"/>
      <c r="E151" s="59"/>
      <c r="F151" s="24"/>
      <c r="G151" s="60"/>
      <c r="H151" s="61"/>
      <c r="I151" s="24"/>
      <c r="J151" s="57"/>
      <c r="K151" s="57"/>
      <c r="L151" s="57"/>
      <c r="M151" s="57"/>
    </row>
    <row r="152" ht="15.75" customHeight="1">
      <c r="A152" s="24"/>
      <c r="B152" s="57"/>
      <c r="D152" s="59"/>
      <c r="E152" s="59"/>
      <c r="F152" s="24"/>
      <c r="G152" s="60"/>
      <c r="H152" s="61"/>
      <c r="I152" s="24"/>
      <c r="J152" s="57"/>
      <c r="K152" s="57"/>
      <c r="L152" s="57"/>
      <c r="M152" s="57"/>
    </row>
    <row r="153" ht="15.75" customHeight="1">
      <c r="A153" s="24"/>
      <c r="B153" s="57"/>
      <c r="D153" s="59"/>
      <c r="E153" s="59"/>
      <c r="F153" s="24"/>
      <c r="G153" s="60"/>
      <c r="H153" s="61"/>
      <c r="I153" s="24"/>
      <c r="J153" s="57"/>
      <c r="K153" s="57"/>
      <c r="L153" s="57"/>
      <c r="M153" s="57"/>
    </row>
    <row r="154" ht="15.75" customHeight="1">
      <c r="A154" s="24"/>
      <c r="B154" s="57"/>
      <c r="D154" s="59"/>
      <c r="E154" s="59"/>
      <c r="F154" s="24"/>
      <c r="G154" s="60"/>
      <c r="H154" s="61"/>
      <c r="I154" s="24"/>
      <c r="J154" s="57"/>
      <c r="K154" s="57"/>
      <c r="L154" s="57"/>
      <c r="M154" s="57"/>
    </row>
    <row r="155" ht="15.75" customHeight="1">
      <c r="A155" s="24"/>
      <c r="B155" s="57"/>
      <c r="D155" s="59"/>
      <c r="E155" s="59"/>
      <c r="F155" s="24"/>
      <c r="G155" s="60"/>
      <c r="H155" s="61"/>
      <c r="I155" s="24"/>
      <c r="J155" s="57"/>
      <c r="K155" s="57"/>
      <c r="L155" s="57"/>
      <c r="M155" s="57"/>
    </row>
    <row r="156" ht="15.75" customHeight="1">
      <c r="A156" s="24"/>
      <c r="B156" s="57"/>
      <c r="D156" s="59"/>
      <c r="E156" s="59"/>
      <c r="F156" s="24"/>
      <c r="G156" s="60"/>
      <c r="H156" s="61"/>
      <c r="I156" s="24"/>
      <c r="J156" s="57"/>
      <c r="K156" s="57"/>
      <c r="L156" s="57"/>
      <c r="M156" s="57"/>
    </row>
    <row r="157" ht="15.75" customHeight="1">
      <c r="A157" s="24"/>
      <c r="B157" s="57"/>
      <c r="D157" s="59"/>
      <c r="E157" s="59"/>
      <c r="F157" s="24"/>
      <c r="G157" s="60"/>
      <c r="H157" s="61"/>
      <c r="I157" s="24"/>
      <c r="J157" s="57"/>
      <c r="K157" s="57"/>
      <c r="L157" s="57"/>
      <c r="M157" s="57"/>
    </row>
    <row r="158" ht="15.75" customHeight="1">
      <c r="A158" s="24"/>
      <c r="B158" s="57"/>
      <c r="D158" s="59"/>
      <c r="E158" s="59"/>
      <c r="F158" s="24"/>
      <c r="G158" s="60"/>
      <c r="H158" s="61"/>
      <c r="I158" s="24"/>
      <c r="J158" s="57"/>
      <c r="K158" s="57"/>
      <c r="L158" s="57"/>
      <c r="M158" s="57"/>
    </row>
    <row r="159" ht="15.75" customHeight="1">
      <c r="A159" s="24"/>
      <c r="B159" s="57"/>
      <c r="D159" s="59"/>
      <c r="E159" s="59"/>
      <c r="F159" s="24"/>
      <c r="G159" s="60"/>
      <c r="H159" s="61"/>
      <c r="I159" s="24"/>
      <c r="J159" s="57"/>
      <c r="K159" s="57"/>
      <c r="L159" s="57"/>
      <c r="M159" s="57"/>
    </row>
    <row r="160" ht="15.75" customHeight="1">
      <c r="A160" s="24"/>
      <c r="B160" s="57"/>
      <c r="D160" s="59"/>
      <c r="E160" s="59"/>
      <c r="F160" s="24"/>
      <c r="G160" s="60"/>
      <c r="H160" s="61"/>
      <c r="I160" s="24"/>
      <c r="J160" s="57"/>
      <c r="K160" s="57"/>
      <c r="L160" s="57"/>
      <c r="M160" s="57"/>
    </row>
    <row r="161" ht="15.75" customHeight="1">
      <c r="A161" s="24"/>
      <c r="B161" s="57"/>
      <c r="D161" s="59"/>
      <c r="E161" s="59"/>
      <c r="F161" s="24"/>
      <c r="G161" s="60"/>
      <c r="H161" s="61"/>
      <c r="I161" s="24"/>
      <c r="J161" s="57"/>
      <c r="K161" s="57"/>
      <c r="L161" s="57"/>
      <c r="M161" s="57"/>
    </row>
    <row r="162" ht="15.75" customHeight="1">
      <c r="A162" s="24"/>
      <c r="B162" s="57"/>
      <c r="D162" s="59"/>
      <c r="E162" s="59"/>
      <c r="F162" s="24"/>
      <c r="G162" s="60"/>
      <c r="H162" s="61"/>
      <c r="I162" s="24"/>
      <c r="J162" s="57"/>
      <c r="K162" s="57"/>
      <c r="L162" s="57"/>
      <c r="M162" s="57"/>
    </row>
    <row r="163" ht="15.75" customHeight="1">
      <c r="A163" s="24"/>
      <c r="B163" s="57"/>
      <c r="D163" s="59"/>
      <c r="E163" s="59"/>
      <c r="F163" s="24"/>
      <c r="G163" s="60"/>
      <c r="H163" s="61"/>
      <c r="I163" s="24"/>
      <c r="J163" s="57"/>
      <c r="K163" s="57"/>
      <c r="L163" s="57"/>
      <c r="M163" s="57"/>
    </row>
    <row r="164" ht="15.75" customHeight="1">
      <c r="A164" s="24"/>
      <c r="B164" s="57"/>
      <c r="D164" s="59"/>
      <c r="E164" s="59"/>
      <c r="F164" s="24"/>
      <c r="G164" s="60"/>
      <c r="H164" s="61"/>
      <c r="I164" s="24"/>
      <c r="J164" s="57"/>
      <c r="K164" s="57"/>
      <c r="L164" s="57"/>
      <c r="M164" s="57"/>
    </row>
    <row r="165" ht="15.75" customHeight="1">
      <c r="A165" s="24"/>
      <c r="B165" s="57"/>
      <c r="D165" s="59"/>
      <c r="E165" s="59"/>
      <c r="F165" s="24"/>
      <c r="G165" s="60"/>
      <c r="H165" s="61"/>
      <c r="I165" s="24"/>
      <c r="J165" s="57"/>
      <c r="K165" s="57"/>
      <c r="L165" s="57"/>
      <c r="M165" s="57"/>
    </row>
    <row r="166" ht="15.75" customHeight="1">
      <c r="A166" s="24"/>
      <c r="B166" s="57"/>
      <c r="D166" s="59"/>
      <c r="E166" s="59"/>
      <c r="F166" s="24"/>
      <c r="G166" s="60"/>
      <c r="H166" s="61"/>
      <c r="I166" s="24"/>
      <c r="J166" s="57"/>
      <c r="K166" s="57"/>
      <c r="L166" s="57"/>
      <c r="M166" s="57"/>
    </row>
    <row r="167" ht="15.75" customHeight="1">
      <c r="A167" s="24"/>
      <c r="B167" s="57"/>
      <c r="D167" s="59"/>
      <c r="E167" s="59"/>
      <c r="F167" s="24"/>
      <c r="G167" s="60"/>
      <c r="H167" s="61"/>
      <c r="I167" s="24"/>
      <c r="J167" s="57"/>
      <c r="K167" s="57"/>
      <c r="L167" s="57"/>
      <c r="M167" s="57"/>
    </row>
    <row r="168" ht="15.75" customHeight="1">
      <c r="A168" s="24"/>
      <c r="B168" s="57"/>
      <c r="D168" s="59"/>
      <c r="E168" s="59"/>
      <c r="F168" s="24"/>
      <c r="G168" s="60"/>
      <c r="H168" s="61"/>
      <c r="I168" s="24"/>
      <c r="J168" s="57"/>
      <c r="K168" s="57"/>
      <c r="L168" s="57"/>
      <c r="M168" s="57"/>
    </row>
    <row r="169" ht="15.75" customHeight="1">
      <c r="A169" s="24"/>
      <c r="B169" s="57"/>
      <c r="D169" s="59"/>
      <c r="E169" s="59"/>
      <c r="F169" s="24"/>
      <c r="G169" s="60"/>
      <c r="H169" s="61"/>
      <c r="I169" s="24"/>
      <c r="J169" s="57"/>
      <c r="K169" s="57"/>
      <c r="L169" s="57"/>
      <c r="M169" s="57"/>
    </row>
    <row r="170" ht="15.75" customHeight="1">
      <c r="A170" s="24"/>
      <c r="B170" s="57"/>
      <c r="D170" s="59"/>
      <c r="E170" s="59"/>
      <c r="F170" s="24"/>
      <c r="G170" s="60"/>
      <c r="H170" s="61"/>
      <c r="I170" s="24"/>
      <c r="J170" s="57"/>
      <c r="K170" s="57"/>
      <c r="L170" s="57"/>
      <c r="M170" s="57"/>
    </row>
    <row r="171" ht="15.75" customHeight="1">
      <c r="A171" s="24"/>
      <c r="B171" s="57"/>
      <c r="D171" s="59"/>
      <c r="E171" s="59"/>
      <c r="F171" s="24"/>
      <c r="G171" s="60"/>
      <c r="H171" s="61"/>
      <c r="I171" s="24"/>
      <c r="J171" s="57"/>
      <c r="K171" s="57"/>
      <c r="L171" s="57"/>
      <c r="M171" s="57"/>
    </row>
    <row r="172" ht="15.75" customHeight="1">
      <c r="A172" s="24"/>
      <c r="B172" s="57"/>
      <c r="D172" s="59"/>
      <c r="E172" s="59"/>
      <c r="F172" s="24"/>
      <c r="G172" s="60"/>
      <c r="H172" s="61"/>
      <c r="I172" s="24"/>
      <c r="J172" s="57"/>
      <c r="K172" s="57"/>
      <c r="L172" s="57"/>
      <c r="M172" s="57"/>
    </row>
    <row r="173" ht="15.75" customHeight="1">
      <c r="A173" s="24"/>
      <c r="B173" s="57"/>
      <c r="D173" s="59"/>
      <c r="E173" s="59"/>
      <c r="F173" s="24"/>
      <c r="G173" s="60"/>
      <c r="H173" s="61"/>
      <c r="I173" s="24"/>
      <c r="J173" s="57"/>
      <c r="K173" s="57"/>
      <c r="L173" s="57"/>
      <c r="M173" s="57"/>
    </row>
    <row r="174" ht="15.75" customHeight="1">
      <c r="A174" s="24"/>
      <c r="B174" s="57"/>
      <c r="D174" s="59"/>
      <c r="E174" s="59"/>
      <c r="F174" s="24"/>
      <c r="G174" s="60"/>
      <c r="H174" s="61"/>
      <c r="I174" s="24"/>
      <c r="J174" s="57"/>
      <c r="K174" s="57"/>
      <c r="L174" s="57"/>
      <c r="M174" s="57"/>
    </row>
    <row r="175" ht="15.75" customHeight="1">
      <c r="A175" s="24"/>
      <c r="B175" s="57"/>
      <c r="D175" s="59"/>
      <c r="E175" s="59"/>
      <c r="F175" s="24"/>
      <c r="G175" s="60"/>
      <c r="H175" s="61"/>
      <c r="I175" s="24"/>
      <c r="J175" s="57"/>
      <c r="K175" s="57"/>
      <c r="L175" s="57"/>
      <c r="M175" s="57"/>
    </row>
    <row r="176" ht="15.75" customHeight="1">
      <c r="A176" s="24"/>
      <c r="B176" s="57"/>
      <c r="D176" s="59"/>
      <c r="E176" s="59"/>
      <c r="F176" s="24"/>
      <c r="G176" s="60"/>
      <c r="H176" s="61"/>
      <c r="I176" s="24"/>
      <c r="J176" s="57"/>
      <c r="K176" s="57"/>
      <c r="L176" s="57"/>
      <c r="M176" s="57"/>
    </row>
    <row r="177" ht="15.75" customHeight="1">
      <c r="A177" s="24"/>
      <c r="B177" s="57"/>
      <c r="D177" s="59"/>
      <c r="E177" s="59"/>
      <c r="F177" s="24"/>
      <c r="G177" s="60"/>
      <c r="H177" s="61"/>
      <c r="I177" s="24"/>
      <c r="J177" s="57"/>
      <c r="K177" s="57"/>
      <c r="L177" s="57"/>
      <c r="M177" s="57"/>
    </row>
    <row r="178" ht="15.75" customHeight="1">
      <c r="A178" s="24"/>
      <c r="B178" s="57"/>
      <c r="D178" s="59"/>
      <c r="E178" s="59"/>
      <c r="F178" s="24"/>
      <c r="G178" s="60"/>
      <c r="H178" s="61"/>
      <c r="I178" s="24"/>
      <c r="J178" s="57"/>
      <c r="K178" s="57"/>
      <c r="L178" s="57"/>
      <c r="M178" s="57"/>
    </row>
    <row r="179" ht="15.75" customHeight="1">
      <c r="A179" s="24"/>
      <c r="B179" s="57"/>
      <c r="D179" s="59"/>
      <c r="E179" s="59"/>
      <c r="F179" s="24"/>
      <c r="G179" s="60"/>
      <c r="H179" s="61"/>
      <c r="I179" s="24"/>
      <c r="J179" s="57"/>
      <c r="K179" s="57"/>
      <c r="L179" s="57"/>
      <c r="M179" s="57"/>
    </row>
    <row r="180" ht="15.75" customHeight="1">
      <c r="A180" s="24"/>
      <c r="B180" s="57"/>
      <c r="D180" s="59"/>
      <c r="E180" s="59"/>
      <c r="F180" s="24"/>
      <c r="G180" s="60"/>
      <c r="H180" s="61"/>
      <c r="I180" s="24"/>
      <c r="J180" s="57"/>
      <c r="K180" s="57"/>
      <c r="L180" s="57"/>
      <c r="M180" s="57"/>
    </row>
    <row r="181" ht="15.75" customHeight="1">
      <c r="A181" s="24"/>
      <c r="B181" s="57"/>
      <c r="D181" s="59"/>
      <c r="E181" s="59"/>
      <c r="F181" s="24"/>
      <c r="G181" s="60"/>
      <c r="H181" s="61"/>
      <c r="I181" s="24"/>
      <c r="J181" s="57"/>
      <c r="K181" s="57"/>
      <c r="L181" s="57"/>
      <c r="M181" s="57"/>
    </row>
    <row r="182" ht="15.75" customHeight="1">
      <c r="A182" s="24"/>
      <c r="B182" s="57"/>
      <c r="D182" s="59"/>
      <c r="E182" s="59"/>
      <c r="F182" s="24"/>
      <c r="G182" s="60"/>
      <c r="H182" s="61"/>
      <c r="I182" s="24"/>
      <c r="J182" s="57"/>
      <c r="K182" s="57"/>
      <c r="L182" s="57"/>
      <c r="M182" s="57"/>
    </row>
    <row r="183" ht="15.75" customHeight="1">
      <c r="A183" s="24"/>
      <c r="B183" s="57"/>
      <c r="D183" s="59"/>
      <c r="E183" s="59"/>
      <c r="F183" s="24"/>
      <c r="G183" s="60"/>
      <c r="H183" s="61"/>
      <c r="I183" s="24"/>
      <c r="J183" s="57"/>
      <c r="K183" s="57"/>
      <c r="L183" s="57"/>
      <c r="M183" s="57"/>
    </row>
    <row r="184" ht="15.75" customHeight="1">
      <c r="A184" s="24"/>
      <c r="B184" s="57"/>
      <c r="D184" s="59"/>
      <c r="E184" s="59"/>
      <c r="F184" s="24"/>
      <c r="G184" s="60"/>
      <c r="H184" s="61"/>
      <c r="I184" s="24"/>
      <c r="J184" s="57"/>
      <c r="K184" s="57"/>
      <c r="L184" s="57"/>
      <c r="M184" s="57"/>
    </row>
    <row r="185" ht="15.75" customHeight="1">
      <c r="A185" s="24"/>
      <c r="B185" s="57"/>
      <c r="D185" s="59"/>
      <c r="E185" s="59"/>
      <c r="F185" s="24"/>
      <c r="G185" s="60"/>
      <c r="H185" s="61"/>
      <c r="I185" s="24"/>
      <c r="J185" s="57"/>
      <c r="K185" s="57"/>
      <c r="L185" s="57"/>
      <c r="M185" s="57"/>
    </row>
    <row r="186" ht="15.75" customHeight="1">
      <c r="A186" s="24"/>
      <c r="B186" s="57"/>
      <c r="D186" s="59"/>
      <c r="E186" s="59"/>
      <c r="F186" s="24"/>
      <c r="G186" s="60"/>
      <c r="H186" s="61"/>
      <c r="I186" s="24"/>
      <c r="J186" s="57"/>
      <c r="K186" s="57"/>
      <c r="L186" s="57"/>
      <c r="M186" s="57"/>
    </row>
    <row r="187" ht="15.75" customHeight="1">
      <c r="A187" s="24"/>
      <c r="B187" s="57"/>
      <c r="D187" s="59"/>
      <c r="E187" s="59"/>
      <c r="F187" s="24"/>
      <c r="G187" s="60"/>
      <c r="H187" s="61"/>
      <c r="I187" s="24"/>
      <c r="J187" s="57"/>
      <c r="K187" s="57"/>
      <c r="L187" s="57"/>
      <c r="M187" s="57"/>
    </row>
    <row r="188" ht="15.75" customHeight="1">
      <c r="A188" s="24"/>
      <c r="B188" s="57"/>
      <c r="D188" s="59"/>
      <c r="E188" s="59"/>
      <c r="F188" s="24"/>
      <c r="G188" s="60"/>
      <c r="H188" s="61"/>
      <c r="I188" s="24"/>
      <c r="J188" s="57"/>
      <c r="K188" s="57"/>
      <c r="L188" s="57"/>
      <c r="M188" s="57"/>
    </row>
    <row r="189" ht="15.75" customHeight="1">
      <c r="A189" s="24"/>
      <c r="B189" s="57"/>
      <c r="D189" s="59"/>
      <c r="E189" s="59"/>
      <c r="F189" s="24"/>
      <c r="G189" s="60"/>
      <c r="H189" s="61"/>
      <c r="I189" s="24"/>
      <c r="J189" s="57"/>
      <c r="K189" s="57"/>
      <c r="L189" s="57"/>
      <c r="M189" s="57"/>
    </row>
    <row r="190" ht="15.75" customHeight="1">
      <c r="A190" s="24"/>
      <c r="B190" s="57"/>
      <c r="D190" s="59"/>
      <c r="E190" s="59"/>
      <c r="F190" s="24"/>
      <c r="G190" s="60"/>
      <c r="H190" s="61"/>
      <c r="I190" s="24"/>
      <c r="J190" s="57"/>
      <c r="K190" s="57"/>
      <c r="L190" s="57"/>
      <c r="M190" s="57"/>
    </row>
    <row r="191" ht="15.75" customHeight="1">
      <c r="A191" s="24"/>
      <c r="B191" s="57"/>
      <c r="D191" s="59"/>
      <c r="E191" s="59"/>
      <c r="F191" s="24"/>
      <c r="G191" s="60"/>
      <c r="H191" s="61"/>
      <c r="I191" s="24"/>
      <c r="J191" s="57"/>
      <c r="K191" s="57"/>
      <c r="L191" s="57"/>
      <c r="M191" s="57"/>
    </row>
    <row r="192" ht="15.75" customHeight="1">
      <c r="A192" s="24"/>
      <c r="B192" s="57"/>
      <c r="D192" s="59"/>
      <c r="E192" s="59"/>
      <c r="F192" s="24"/>
      <c r="G192" s="60"/>
      <c r="H192" s="61"/>
      <c r="I192" s="24"/>
      <c r="J192" s="57"/>
      <c r="K192" s="57"/>
      <c r="L192" s="57"/>
      <c r="M192" s="57"/>
    </row>
    <row r="193" ht="15.75" customHeight="1">
      <c r="A193" s="24"/>
      <c r="B193" s="57"/>
      <c r="D193" s="59"/>
      <c r="E193" s="59"/>
      <c r="F193" s="24"/>
      <c r="G193" s="60"/>
      <c r="H193" s="61"/>
      <c r="I193" s="24"/>
      <c r="J193" s="57"/>
      <c r="K193" s="57"/>
      <c r="L193" s="57"/>
      <c r="M193" s="57"/>
    </row>
    <row r="194" ht="15.75" customHeight="1">
      <c r="A194" s="24"/>
      <c r="B194" s="57"/>
      <c r="D194" s="59"/>
      <c r="E194" s="59"/>
      <c r="F194" s="24"/>
      <c r="G194" s="60"/>
      <c r="H194" s="61"/>
      <c r="I194" s="24"/>
      <c r="J194" s="57"/>
      <c r="K194" s="57"/>
      <c r="L194" s="57"/>
      <c r="M194" s="57"/>
    </row>
    <row r="195" ht="15.75" customHeight="1">
      <c r="A195" s="24"/>
      <c r="B195" s="57"/>
      <c r="D195" s="59"/>
      <c r="E195" s="59"/>
      <c r="F195" s="24"/>
      <c r="G195" s="60"/>
      <c r="H195" s="61"/>
      <c r="I195" s="24"/>
      <c r="J195" s="57"/>
      <c r="K195" s="57"/>
      <c r="L195" s="57"/>
      <c r="M195" s="57"/>
    </row>
    <row r="196" ht="15.75" customHeight="1">
      <c r="A196" s="24"/>
      <c r="B196" s="57"/>
      <c r="D196" s="59"/>
      <c r="E196" s="59"/>
      <c r="F196" s="24"/>
      <c r="G196" s="60"/>
      <c r="H196" s="61"/>
      <c r="I196" s="24"/>
      <c r="J196" s="57"/>
      <c r="K196" s="57"/>
      <c r="L196" s="57"/>
      <c r="M196" s="57"/>
    </row>
    <row r="197" ht="15.75" customHeight="1">
      <c r="A197" s="24"/>
      <c r="B197" s="57"/>
      <c r="D197" s="59"/>
      <c r="E197" s="59"/>
      <c r="F197" s="24"/>
      <c r="G197" s="60"/>
      <c r="H197" s="61"/>
      <c r="I197" s="24"/>
      <c r="J197" s="57"/>
      <c r="K197" s="57"/>
      <c r="L197" s="57"/>
      <c r="M197" s="57"/>
    </row>
    <row r="198" ht="15.75" customHeight="1">
      <c r="A198" s="24"/>
      <c r="B198" s="57"/>
      <c r="D198" s="59"/>
      <c r="E198" s="59"/>
      <c r="F198" s="24"/>
      <c r="G198" s="60"/>
      <c r="H198" s="61"/>
      <c r="I198" s="24"/>
      <c r="J198" s="57"/>
      <c r="K198" s="57"/>
      <c r="L198" s="57"/>
      <c r="M198" s="57"/>
    </row>
    <row r="199" ht="15.75" customHeight="1">
      <c r="A199" s="24"/>
      <c r="B199" s="57"/>
      <c r="D199" s="59"/>
      <c r="E199" s="59"/>
      <c r="F199" s="24"/>
      <c r="G199" s="60"/>
      <c r="H199" s="61"/>
      <c r="I199" s="24"/>
      <c r="J199" s="57"/>
      <c r="K199" s="57"/>
      <c r="L199" s="57"/>
      <c r="M199" s="57"/>
    </row>
    <row r="200" ht="15.75" customHeight="1">
      <c r="A200" s="24"/>
      <c r="B200" s="57"/>
      <c r="D200" s="59"/>
      <c r="E200" s="59"/>
      <c r="F200" s="24"/>
      <c r="G200" s="60"/>
      <c r="H200" s="61"/>
      <c r="I200" s="24"/>
      <c r="J200" s="57"/>
      <c r="K200" s="57"/>
      <c r="L200" s="57"/>
      <c r="M200" s="57"/>
    </row>
    <row r="201" ht="15.75" customHeight="1">
      <c r="A201" s="24"/>
      <c r="B201" s="57"/>
      <c r="D201" s="59"/>
      <c r="E201" s="59"/>
      <c r="F201" s="24"/>
      <c r="G201" s="60"/>
      <c r="H201" s="61"/>
      <c r="I201" s="24"/>
      <c r="J201" s="57"/>
      <c r="K201" s="57"/>
      <c r="L201" s="57"/>
      <c r="M201" s="57"/>
    </row>
    <row r="202" ht="15.75" customHeight="1">
      <c r="A202" s="24"/>
      <c r="B202" s="57"/>
      <c r="D202" s="59"/>
      <c r="E202" s="59"/>
      <c r="F202" s="24"/>
      <c r="G202" s="60"/>
      <c r="H202" s="61"/>
      <c r="I202" s="24"/>
      <c r="J202" s="57"/>
      <c r="K202" s="57"/>
      <c r="L202" s="57"/>
      <c r="M202" s="57"/>
    </row>
    <row r="203" ht="15.75" customHeight="1">
      <c r="A203" s="24"/>
      <c r="B203" s="57"/>
      <c r="D203" s="59"/>
      <c r="E203" s="59"/>
      <c r="F203" s="24"/>
      <c r="G203" s="60"/>
      <c r="H203" s="61"/>
      <c r="I203" s="24"/>
      <c r="J203" s="57"/>
      <c r="K203" s="57"/>
      <c r="L203" s="57"/>
      <c r="M203" s="57"/>
    </row>
    <row r="204" ht="15.75" customHeight="1">
      <c r="A204" s="24"/>
      <c r="B204" s="57"/>
      <c r="D204" s="59"/>
      <c r="E204" s="59"/>
      <c r="F204" s="24"/>
      <c r="G204" s="60"/>
      <c r="H204" s="61"/>
      <c r="I204" s="24"/>
      <c r="J204" s="57"/>
      <c r="K204" s="57"/>
      <c r="L204" s="57"/>
      <c r="M204" s="57"/>
    </row>
    <row r="205" ht="15.75" customHeight="1">
      <c r="A205" s="24"/>
      <c r="B205" s="57"/>
      <c r="D205" s="59"/>
      <c r="E205" s="59"/>
      <c r="F205" s="24"/>
      <c r="G205" s="60"/>
      <c r="H205" s="61"/>
      <c r="I205" s="24"/>
      <c r="J205" s="57"/>
      <c r="K205" s="57"/>
      <c r="L205" s="57"/>
      <c r="M205" s="57"/>
    </row>
    <row r="206" ht="15.75" customHeight="1">
      <c r="A206" s="24"/>
      <c r="B206" s="57"/>
      <c r="D206" s="59"/>
      <c r="E206" s="59"/>
      <c r="F206" s="24"/>
      <c r="G206" s="60"/>
      <c r="H206" s="61"/>
      <c r="I206" s="24"/>
      <c r="J206" s="57"/>
      <c r="K206" s="57"/>
      <c r="L206" s="57"/>
      <c r="M206" s="57"/>
    </row>
    <row r="207" ht="15.75" customHeight="1">
      <c r="A207" s="24"/>
      <c r="B207" s="57"/>
      <c r="D207" s="59"/>
      <c r="E207" s="59"/>
      <c r="F207" s="24"/>
      <c r="G207" s="60"/>
      <c r="H207" s="61"/>
      <c r="I207" s="24"/>
      <c r="J207" s="57"/>
      <c r="K207" s="57"/>
      <c r="L207" s="57"/>
      <c r="M207" s="57"/>
    </row>
    <row r="208" ht="15.75" customHeight="1">
      <c r="A208" s="24"/>
      <c r="B208" s="57"/>
      <c r="D208" s="59"/>
      <c r="E208" s="59"/>
      <c r="F208" s="24"/>
      <c r="G208" s="60"/>
      <c r="H208" s="61"/>
      <c r="I208" s="24"/>
      <c r="J208" s="57"/>
      <c r="K208" s="57"/>
      <c r="L208" s="57"/>
      <c r="M208" s="57"/>
    </row>
    <row r="209" ht="15.75" customHeight="1">
      <c r="A209" s="24"/>
      <c r="B209" s="57"/>
      <c r="D209" s="59"/>
      <c r="E209" s="59"/>
      <c r="F209" s="24"/>
      <c r="G209" s="60"/>
      <c r="H209" s="61"/>
      <c r="I209" s="24"/>
      <c r="J209" s="57"/>
      <c r="K209" s="57"/>
      <c r="L209" s="57"/>
      <c r="M209" s="57"/>
    </row>
    <row r="210" ht="15.75" customHeight="1">
      <c r="A210" s="24"/>
      <c r="B210" s="57"/>
      <c r="D210" s="59"/>
      <c r="E210" s="59"/>
      <c r="F210" s="24"/>
      <c r="G210" s="60"/>
      <c r="H210" s="61"/>
      <c r="I210" s="24"/>
      <c r="J210" s="57"/>
      <c r="K210" s="57"/>
      <c r="L210" s="57"/>
      <c r="M210" s="57"/>
    </row>
    <row r="211" ht="15.75" customHeight="1">
      <c r="A211" s="24"/>
      <c r="B211" s="57"/>
      <c r="D211" s="59"/>
      <c r="E211" s="59"/>
      <c r="F211" s="24"/>
      <c r="G211" s="60"/>
      <c r="H211" s="61"/>
      <c r="I211" s="24"/>
      <c r="J211" s="57"/>
      <c r="K211" s="57"/>
      <c r="L211" s="57"/>
      <c r="M211" s="57"/>
    </row>
    <row r="212" ht="15.75" customHeight="1">
      <c r="A212" s="24"/>
      <c r="B212" s="57"/>
      <c r="D212" s="59"/>
      <c r="E212" s="59"/>
      <c r="F212" s="24"/>
      <c r="G212" s="60"/>
      <c r="H212" s="61"/>
      <c r="I212" s="24"/>
      <c r="J212" s="57"/>
      <c r="K212" s="57"/>
      <c r="L212" s="57"/>
      <c r="M212" s="57"/>
    </row>
    <row r="213" ht="15.75" customHeight="1">
      <c r="A213" s="24"/>
      <c r="B213" s="57"/>
      <c r="D213" s="59"/>
      <c r="E213" s="59"/>
      <c r="F213" s="24"/>
      <c r="G213" s="60"/>
      <c r="H213" s="61"/>
      <c r="I213" s="24"/>
      <c r="J213" s="57"/>
      <c r="K213" s="57"/>
      <c r="L213" s="57"/>
      <c r="M213" s="57"/>
    </row>
    <row r="214" ht="15.75" customHeight="1">
      <c r="A214" s="24"/>
      <c r="B214" s="57"/>
      <c r="D214" s="59"/>
      <c r="E214" s="59"/>
      <c r="F214" s="24"/>
      <c r="G214" s="60"/>
      <c r="H214" s="61"/>
      <c r="I214" s="24"/>
      <c r="J214" s="57"/>
      <c r="K214" s="57"/>
      <c r="L214" s="57"/>
      <c r="M214" s="57"/>
    </row>
    <row r="215" ht="15.75" customHeight="1">
      <c r="A215" s="24"/>
      <c r="B215" s="57"/>
      <c r="D215" s="59"/>
      <c r="E215" s="59"/>
      <c r="F215" s="24"/>
      <c r="G215" s="60"/>
      <c r="H215" s="61"/>
      <c r="I215" s="24"/>
      <c r="J215" s="57"/>
      <c r="K215" s="57"/>
      <c r="L215" s="57"/>
      <c r="M215" s="57"/>
    </row>
    <row r="216" ht="15.75" customHeight="1">
      <c r="A216" s="24"/>
      <c r="B216" s="57"/>
      <c r="D216" s="59"/>
      <c r="E216" s="59"/>
      <c r="F216" s="24"/>
      <c r="G216" s="60"/>
      <c r="H216" s="61"/>
      <c r="I216" s="24"/>
      <c r="J216" s="57"/>
      <c r="K216" s="57"/>
      <c r="L216" s="57"/>
      <c r="M216" s="57"/>
    </row>
    <row r="217" ht="15.75" customHeight="1">
      <c r="A217" s="24"/>
      <c r="B217" s="57"/>
      <c r="D217" s="59"/>
      <c r="E217" s="59"/>
      <c r="F217" s="24"/>
      <c r="G217" s="60"/>
      <c r="H217" s="61"/>
      <c r="I217" s="24"/>
      <c r="J217" s="57"/>
      <c r="K217" s="57"/>
      <c r="L217" s="57"/>
      <c r="M217" s="57"/>
    </row>
    <row r="218" ht="15.75" customHeight="1">
      <c r="A218" s="24"/>
      <c r="B218" s="57"/>
      <c r="D218" s="59"/>
      <c r="E218" s="59"/>
      <c r="F218" s="24"/>
      <c r="G218" s="60"/>
      <c r="H218" s="61"/>
      <c r="I218" s="24"/>
      <c r="J218" s="57"/>
      <c r="K218" s="57"/>
      <c r="L218" s="57"/>
      <c r="M218" s="57"/>
    </row>
    <row r="219" ht="15.75" customHeight="1">
      <c r="A219" s="24"/>
      <c r="B219" s="57"/>
      <c r="D219" s="59"/>
      <c r="E219" s="59"/>
      <c r="F219" s="24"/>
      <c r="G219" s="60"/>
      <c r="H219" s="61"/>
      <c r="I219" s="24"/>
      <c r="J219" s="57"/>
      <c r="K219" s="57"/>
      <c r="L219" s="57"/>
      <c r="M219" s="57"/>
    </row>
    <row r="220" ht="15.75" customHeight="1">
      <c r="A220" s="24"/>
      <c r="B220" s="57"/>
      <c r="D220" s="59"/>
      <c r="E220" s="59"/>
      <c r="F220" s="24"/>
      <c r="G220" s="60"/>
      <c r="H220" s="61"/>
      <c r="I220" s="24"/>
      <c r="J220" s="57"/>
      <c r="K220" s="57"/>
      <c r="L220" s="57"/>
      <c r="M220" s="57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D7:D9"/>
    <mergeCell ref="E7:E9"/>
    <mergeCell ref="A11:A12"/>
    <mergeCell ref="B11:B12"/>
    <mergeCell ref="D11:D12"/>
    <mergeCell ref="E11:E12"/>
    <mergeCell ref="A1:M2"/>
    <mergeCell ref="J4:J13"/>
    <mergeCell ref="K4:K13"/>
    <mergeCell ref="L4:L13"/>
    <mergeCell ref="M4:M13"/>
    <mergeCell ref="A7:A9"/>
    <mergeCell ref="B7:B9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5.86"/>
    <col customWidth="1" min="3" max="3" width="28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26" width="9.14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13" t="s">
        <v>4</v>
      </c>
      <c r="D3" s="16" t="s">
        <v>5</v>
      </c>
      <c r="E3" s="16" t="s">
        <v>6</v>
      </c>
      <c r="F3" s="13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15</v>
      </c>
      <c r="M3" s="23" t="s">
        <v>14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f t="shared" ref="A4:A9" si="3">ROW()-3</f>
        <v>1</v>
      </c>
      <c r="B4" s="30">
        <v>44843.0</v>
      </c>
      <c r="C4" s="31" t="s">
        <v>19</v>
      </c>
      <c r="D4" s="31" t="s">
        <v>25</v>
      </c>
      <c r="E4" s="31" t="s">
        <v>26</v>
      </c>
      <c r="F4" s="32">
        <v>1.0</v>
      </c>
      <c r="G4" s="33">
        <v>2100.0</v>
      </c>
      <c r="H4" s="33">
        <v>5400.0</v>
      </c>
      <c r="I4" s="33">
        <f t="shared" ref="I4:I27" si="4">(H4-G4)</f>
        <v>3300</v>
      </c>
      <c r="J4" s="35">
        <f t="shared" ref="J4:K4" si="1">SUM(H4:H39)</f>
        <v>82250</v>
      </c>
      <c r="K4" s="37">
        <f t="shared" si="1"/>
        <v>48200</v>
      </c>
      <c r="L4" s="39">
        <f t="shared" ref="L4:M4" si="2">J4/2</f>
        <v>41125</v>
      </c>
      <c r="M4" s="41">
        <f t="shared" si="2"/>
        <v>24100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f t="shared" si="3"/>
        <v>2</v>
      </c>
      <c r="B5" s="30">
        <v>44845.0</v>
      </c>
      <c r="C5" s="31" t="s">
        <v>42</v>
      </c>
      <c r="D5" s="31" t="s">
        <v>33</v>
      </c>
      <c r="E5" s="31" t="s">
        <v>44</v>
      </c>
      <c r="F5" s="32">
        <v>1.0</v>
      </c>
      <c r="G5" s="33">
        <v>2500.0</v>
      </c>
      <c r="H5" s="33">
        <v>5000.0</v>
      </c>
      <c r="I5" s="33">
        <f t="shared" si="4"/>
        <v>2500</v>
      </c>
      <c r="J5" s="48"/>
      <c r="K5" s="38"/>
      <c r="L5" s="38"/>
      <c r="M5" s="38"/>
    </row>
    <row r="6" ht="18.75" customHeight="1">
      <c r="A6" s="26">
        <f t="shared" si="3"/>
        <v>3</v>
      </c>
      <c r="B6" s="30">
        <v>44846.0</v>
      </c>
      <c r="C6" s="31" t="s">
        <v>19</v>
      </c>
      <c r="D6" s="31" t="s">
        <v>50</v>
      </c>
      <c r="E6" s="31" t="s">
        <v>53</v>
      </c>
      <c r="F6" s="32">
        <v>1.0</v>
      </c>
      <c r="G6" s="33">
        <v>2100.0</v>
      </c>
      <c r="H6" s="33">
        <v>5400.0</v>
      </c>
      <c r="I6" s="33">
        <f t="shared" si="4"/>
        <v>3300</v>
      </c>
      <c r="J6" s="48"/>
      <c r="K6" s="38"/>
      <c r="L6" s="38"/>
      <c r="M6" s="38"/>
    </row>
    <row r="7" ht="18.75" customHeight="1">
      <c r="A7" s="26">
        <f t="shared" si="3"/>
        <v>4</v>
      </c>
      <c r="B7" s="30">
        <v>44849.0</v>
      </c>
      <c r="C7" s="31" t="s">
        <v>18</v>
      </c>
      <c r="D7" s="31" t="s">
        <v>59</v>
      </c>
      <c r="E7" s="31" t="s">
        <v>61</v>
      </c>
      <c r="F7" s="32">
        <v>1.0</v>
      </c>
      <c r="G7" s="33">
        <v>2400.0</v>
      </c>
      <c r="H7" s="33">
        <v>6750.0</v>
      </c>
      <c r="I7" s="33">
        <f t="shared" si="4"/>
        <v>4350</v>
      </c>
      <c r="J7" s="48"/>
      <c r="K7" s="38"/>
      <c r="L7" s="38"/>
      <c r="M7" s="38"/>
    </row>
    <row r="8" ht="18.75" customHeight="1">
      <c r="A8" s="26">
        <f t="shared" si="3"/>
        <v>5</v>
      </c>
      <c r="B8" s="30">
        <v>44851.0</v>
      </c>
      <c r="C8" s="31" t="s">
        <v>42</v>
      </c>
      <c r="D8" s="31" t="s">
        <v>64</v>
      </c>
      <c r="E8" s="31" t="s">
        <v>66</v>
      </c>
      <c r="F8" s="32">
        <v>1.0</v>
      </c>
      <c r="G8" s="33">
        <v>2500.0</v>
      </c>
      <c r="H8" s="33">
        <v>5000.0</v>
      </c>
      <c r="I8" s="33">
        <f t="shared" si="4"/>
        <v>2500</v>
      </c>
      <c r="J8" s="48"/>
      <c r="K8" s="38"/>
      <c r="L8" s="38"/>
      <c r="M8" s="38"/>
    </row>
    <row r="9" ht="18.75" customHeight="1">
      <c r="A9" s="26">
        <f t="shared" si="3"/>
        <v>6</v>
      </c>
      <c r="B9" s="30">
        <v>44851.0</v>
      </c>
      <c r="C9" s="31" t="s">
        <v>18</v>
      </c>
      <c r="D9" s="31" t="s">
        <v>72</v>
      </c>
      <c r="E9" s="31" t="s">
        <v>28</v>
      </c>
      <c r="F9" s="32">
        <v>1.0</v>
      </c>
      <c r="G9" s="33">
        <v>2400.0</v>
      </c>
      <c r="H9" s="33">
        <v>6750.0</v>
      </c>
      <c r="I9" s="33">
        <f t="shared" si="4"/>
        <v>4350</v>
      </c>
      <c r="J9" s="48"/>
      <c r="K9" s="38"/>
      <c r="L9" s="38"/>
      <c r="M9" s="38"/>
    </row>
    <row r="10" ht="18.75" customHeight="1">
      <c r="A10" s="26">
        <v>7.0</v>
      </c>
      <c r="B10" s="30">
        <v>44852.0</v>
      </c>
      <c r="C10" s="31" t="s">
        <v>18</v>
      </c>
      <c r="D10" s="31" t="s">
        <v>74</v>
      </c>
      <c r="E10" s="31" t="s">
        <v>31</v>
      </c>
      <c r="F10" s="32">
        <v>1.0</v>
      </c>
      <c r="G10" s="33">
        <v>2400.0</v>
      </c>
      <c r="H10" s="33">
        <v>6750.0</v>
      </c>
      <c r="I10" s="33">
        <f t="shared" si="4"/>
        <v>4350</v>
      </c>
      <c r="J10" s="48"/>
      <c r="K10" s="38"/>
      <c r="L10" s="38"/>
      <c r="M10" s="38"/>
    </row>
    <row r="11" ht="18.75" customHeight="1">
      <c r="A11" s="26">
        <v>8.0</v>
      </c>
      <c r="B11" s="64">
        <v>44855.0</v>
      </c>
      <c r="C11" s="31" t="s">
        <v>18</v>
      </c>
      <c r="D11" s="65" t="s">
        <v>76</v>
      </c>
      <c r="E11" s="65" t="s">
        <v>79</v>
      </c>
      <c r="F11" s="32">
        <v>1.0</v>
      </c>
      <c r="G11" s="33">
        <v>2400.0</v>
      </c>
      <c r="H11" s="33">
        <v>6750.0</v>
      </c>
      <c r="I11" s="33">
        <f t="shared" si="4"/>
        <v>4350</v>
      </c>
      <c r="J11" s="48"/>
      <c r="K11" s="38"/>
      <c r="L11" s="38"/>
      <c r="M11" s="38"/>
    </row>
    <row r="12" ht="18.75" customHeight="1">
      <c r="A12" s="26">
        <f t="shared" ref="A12:A20" si="5">ROW()-3</f>
        <v>9</v>
      </c>
      <c r="B12" s="47"/>
      <c r="C12" s="31" t="s">
        <v>82</v>
      </c>
      <c r="D12" s="47"/>
      <c r="E12" s="47"/>
      <c r="F12" s="32">
        <v>1.0</v>
      </c>
      <c r="G12" s="33">
        <v>2500.0</v>
      </c>
      <c r="H12" s="33">
        <v>4500.0</v>
      </c>
      <c r="I12" s="33">
        <f t="shared" si="4"/>
        <v>2000</v>
      </c>
      <c r="J12" s="48"/>
      <c r="K12" s="38"/>
      <c r="L12" s="38"/>
      <c r="M12" s="38"/>
    </row>
    <row r="13" ht="18.75" customHeight="1">
      <c r="A13" s="26">
        <f t="shared" si="5"/>
        <v>10</v>
      </c>
      <c r="B13" s="30">
        <v>44859.0</v>
      </c>
      <c r="C13" s="31" t="s">
        <v>18</v>
      </c>
      <c r="D13" s="31" t="s">
        <v>87</v>
      </c>
      <c r="E13" s="31" t="s">
        <v>61</v>
      </c>
      <c r="F13" s="32">
        <v>1.0</v>
      </c>
      <c r="G13" s="33">
        <v>2400.0</v>
      </c>
      <c r="H13" s="33">
        <v>6750.0</v>
      </c>
      <c r="I13" s="33">
        <f t="shared" si="4"/>
        <v>4350</v>
      </c>
      <c r="J13" s="48"/>
      <c r="K13" s="38"/>
      <c r="L13" s="38"/>
      <c r="M13" s="38"/>
    </row>
    <row r="14" ht="18.75" customHeight="1">
      <c r="A14" s="26">
        <f t="shared" si="5"/>
        <v>11</v>
      </c>
      <c r="B14" s="30">
        <v>44864.0</v>
      </c>
      <c r="C14" s="31" t="s">
        <v>42</v>
      </c>
      <c r="D14" s="65" t="s">
        <v>91</v>
      </c>
      <c r="E14" s="65" t="s">
        <v>93</v>
      </c>
      <c r="F14" s="32">
        <v>1.0</v>
      </c>
      <c r="G14" s="33">
        <v>2500.0</v>
      </c>
      <c r="H14" s="33">
        <v>5000.0</v>
      </c>
      <c r="I14" s="33">
        <f t="shared" si="4"/>
        <v>2500</v>
      </c>
      <c r="J14" s="48"/>
      <c r="K14" s="38"/>
      <c r="L14" s="38"/>
      <c r="M14" s="38"/>
    </row>
    <row r="15" ht="18.75" customHeight="1">
      <c r="A15" s="26">
        <f t="shared" si="5"/>
        <v>12</v>
      </c>
      <c r="B15" s="64">
        <v>44866.0</v>
      </c>
      <c r="C15" s="31" t="s">
        <v>19</v>
      </c>
      <c r="D15" s="67" t="s">
        <v>58</v>
      </c>
      <c r="E15" s="67" t="s">
        <v>28</v>
      </c>
      <c r="F15" s="32">
        <v>1.0</v>
      </c>
      <c r="G15" s="33">
        <v>2100.0</v>
      </c>
      <c r="H15" s="33">
        <v>5400.0</v>
      </c>
      <c r="I15" s="33">
        <f t="shared" si="4"/>
        <v>3300</v>
      </c>
      <c r="J15" s="48"/>
      <c r="K15" s="38"/>
      <c r="L15" s="38"/>
      <c r="M15" s="38"/>
    </row>
    <row r="16" ht="18.75" customHeight="1">
      <c r="A16" s="26">
        <f t="shared" si="5"/>
        <v>13</v>
      </c>
      <c r="B16" s="47"/>
      <c r="C16" s="31" t="s">
        <v>98</v>
      </c>
      <c r="D16" s="47"/>
      <c r="E16" s="47"/>
      <c r="F16" s="32">
        <v>1.0</v>
      </c>
      <c r="G16" s="68">
        <v>1800.0</v>
      </c>
      <c r="H16" s="33">
        <v>3800.0</v>
      </c>
      <c r="I16" s="33">
        <f t="shared" si="4"/>
        <v>2000</v>
      </c>
      <c r="J16" s="48"/>
      <c r="K16" s="38"/>
      <c r="L16" s="38"/>
      <c r="M16" s="38"/>
    </row>
    <row r="17" ht="18.75" customHeight="1">
      <c r="A17" s="26">
        <f t="shared" si="5"/>
        <v>14</v>
      </c>
      <c r="B17" s="30">
        <v>44869.0</v>
      </c>
      <c r="C17" s="31" t="s">
        <v>75</v>
      </c>
      <c r="D17" s="31" t="s">
        <v>101</v>
      </c>
      <c r="E17" s="31" t="s">
        <v>102</v>
      </c>
      <c r="F17" s="32">
        <v>1.0</v>
      </c>
      <c r="G17" s="33">
        <v>1850.0</v>
      </c>
      <c r="H17" s="33">
        <v>3600.0</v>
      </c>
      <c r="I17" s="33">
        <f t="shared" si="4"/>
        <v>1750</v>
      </c>
      <c r="J17" s="48"/>
      <c r="K17" s="38"/>
      <c r="L17" s="38"/>
      <c r="M17" s="38"/>
    </row>
    <row r="18" ht="18.75" customHeight="1">
      <c r="A18" s="26">
        <f t="shared" si="5"/>
        <v>15</v>
      </c>
      <c r="B18" s="30">
        <v>44871.0</v>
      </c>
      <c r="C18" s="31" t="s">
        <v>19</v>
      </c>
      <c r="D18" s="31" t="s">
        <v>107</v>
      </c>
      <c r="E18" s="31" t="s">
        <v>108</v>
      </c>
      <c r="F18" s="32">
        <v>1.0</v>
      </c>
      <c r="G18" s="33">
        <v>2100.0</v>
      </c>
      <c r="H18" s="33">
        <v>5400.0</v>
      </c>
      <c r="I18" s="33">
        <f t="shared" si="4"/>
        <v>3300</v>
      </c>
      <c r="J18" s="48"/>
      <c r="K18" s="38"/>
      <c r="L18" s="38"/>
      <c r="M18" s="38"/>
    </row>
    <row r="19" ht="18.75" customHeight="1">
      <c r="A19" s="26">
        <f t="shared" si="5"/>
        <v>16</v>
      </c>
      <c r="B19" s="30"/>
      <c r="C19" s="31"/>
      <c r="D19" s="31"/>
      <c r="E19" s="31"/>
      <c r="F19" s="32"/>
      <c r="G19" s="33"/>
      <c r="H19" s="33"/>
      <c r="I19" s="33">
        <f t="shared" si="4"/>
        <v>0</v>
      </c>
      <c r="J19" s="48"/>
      <c r="K19" s="38"/>
      <c r="L19" s="38"/>
      <c r="M19" s="38"/>
    </row>
    <row r="20" ht="18.75" customHeight="1">
      <c r="A20" s="26">
        <f t="shared" si="5"/>
        <v>17</v>
      </c>
      <c r="B20" s="30"/>
      <c r="C20" s="31"/>
      <c r="D20" s="31"/>
      <c r="E20" s="31"/>
      <c r="F20" s="32"/>
      <c r="G20" s="33"/>
      <c r="H20" s="33"/>
      <c r="I20" s="33">
        <f t="shared" si="4"/>
        <v>0</v>
      </c>
      <c r="J20" s="48"/>
      <c r="K20" s="38"/>
      <c r="L20" s="38"/>
      <c r="M20" s="38"/>
    </row>
    <row r="21" ht="18.75" customHeight="1">
      <c r="A21" s="26">
        <v>7.0</v>
      </c>
      <c r="B21" s="30"/>
      <c r="C21" s="31"/>
      <c r="D21" s="31"/>
      <c r="E21" s="31"/>
      <c r="F21" s="32"/>
      <c r="G21" s="33"/>
      <c r="H21" s="33"/>
      <c r="I21" s="33">
        <f t="shared" si="4"/>
        <v>0</v>
      </c>
      <c r="J21" s="48"/>
      <c r="K21" s="38"/>
      <c r="L21" s="38"/>
      <c r="M21" s="38"/>
    </row>
    <row r="22" ht="18.75" customHeight="1">
      <c r="A22" s="26">
        <v>8.0</v>
      </c>
      <c r="B22" s="30"/>
      <c r="C22" s="31"/>
      <c r="D22" s="31"/>
      <c r="E22" s="31"/>
      <c r="F22" s="32"/>
      <c r="G22" s="33"/>
      <c r="H22" s="33"/>
      <c r="I22" s="33">
        <f t="shared" si="4"/>
        <v>0</v>
      </c>
      <c r="J22" s="48"/>
      <c r="K22" s="38"/>
      <c r="L22" s="38"/>
      <c r="M22" s="38"/>
    </row>
    <row r="23" ht="18.75" customHeight="1">
      <c r="A23" s="26">
        <f t="shared" ref="A23:A24" si="6">ROW()-3</f>
        <v>20</v>
      </c>
      <c r="B23" s="30"/>
      <c r="C23" s="31"/>
      <c r="D23" s="31"/>
      <c r="E23" s="31"/>
      <c r="F23" s="32"/>
      <c r="G23" s="33"/>
      <c r="H23" s="33"/>
      <c r="I23" s="33">
        <f t="shared" si="4"/>
        <v>0</v>
      </c>
      <c r="J23" s="48"/>
      <c r="K23" s="38"/>
      <c r="L23" s="38"/>
      <c r="M23" s="38"/>
    </row>
    <row r="24" ht="18.75" customHeight="1">
      <c r="A24" s="26">
        <f t="shared" si="6"/>
        <v>21</v>
      </c>
      <c r="B24" s="30"/>
      <c r="C24" s="31"/>
      <c r="D24" s="31"/>
      <c r="E24" s="31"/>
      <c r="F24" s="32"/>
      <c r="G24" s="33"/>
      <c r="H24" s="33"/>
      <c r="I24" s="33">
        <f t="shared" si="4"/>
        <v>0</v>
      </c>
      <c r="J24" s="48"/>
      <c r="K24" s="38"/>
      <c r="L24" s="38"/>
      <c r="M24" s="38"/>
    </row>
    <row r="25" ht="18.75" customHeight="1">
      <c r="A25" s="26">
        <v>13.0</v>
      </c>
      <c r="B25" s="30"/>
      <c r="C25" s="31"/>
      <c r="D25" s="31"/>
      <c r="E25" s="31"/>
      <c r="F25" s="32"/>
      <c r="G25" s="33"/>
      <c r="H25" s="33"/>
      <c r="I25" s="33">
        <f t="shared" si="4"/>
        <v>0</v>
      </c>
      <c r="J25" s="48"/>
      <c r="K25" s="38"/>
      <c r="L25" s="38"/>
      <c r="M25" s="38"/>
    </row>
    <row r="26" ht="18.75" customHeight="1">
      <c r="A26" s="26">
        <v>14.0</v>
      </c>
      <c r="B26" s="30"/>
      <c r="C26" s="31"/>
      <c r="D26" s="31"/>
      <c r="E26" s="31"/>
      <c r="F26" s="32"/>
      <c r="G26" s="33"/>
      <c r="H26" s="33"/>
      <c r="I26" s="33">
        <f t="shared" si="4"/>
        <v>0</v>
      </c>
      <c r="J26" s="48"/>
      <c r="K26" s="38"/>
      <c r="L26" s="38"/>
      <c r="M26" s="38"/>
    </row>
    <row r="27" ht="18.75" customHeight="1">
      <c r="A27" s="26">
        <v>15.0</v>
      </c>
      <c r="B27" s="30"/>
      <c r="C27" s="31"/>
      <c r="D27" s="31"/>
      <c r="E27" s="31"/>
      <c r="F27" s="32"/>
      <c r="G27" s="33"/>
      <c r="H27" s="33"/>
      <c r="I27" s="33">
        <f t="shared" si="4"/>
        <v>0</v>
      </c>
      <c r="J27" s="71"/>
      <c r="K27" s="47"/>
      <c r="L27" s="47"/>
      <c r="M27" s="47"/>
    </row>
    <row r="28" ht="18.75" customHeight="1">
      <c r="A28" s="72"/>
      <c r="B28" s="73"/>
      <c r="C28" s="74"/>
      <c r="D28" s="74"/>
      <c r="E28" s="74"/>
      <c r="F28" s="75">
        <f>SUM(F4:F18)</f>
        <v>15</v>
      </c>
      <c r="G28" s="76"/>
      <c r="H28" s="76"/>
      <c r="I28" s="72"/>
      <c r="J28" s="24"/>
      <c r="K28" s="24"/>
      <c r="L28" s="24"/>
      <c r="M28" s="24"/>
    </row>
    <row r="29" ht="18.75" customHeight="1">
      <c r="A29" s="72"/>
      <c r="B29" s="73"/>
      <c r="C29" s="74"/>
      <c r="D29" s="74"/>
      <c r="E29" s="74"/>
      <c r="F29" s="72"/>
      <c r="G29" s="76"/>
      <c r="H29" s="76"/>
      <c r="I29" s="72"/>
      <c r="J29" s="24"/>
      <c r="K29" s="24"/>
      <c r="L29" s="24"/>
      <c r="M29" s="24"/>
    </row>
    <row r="30" ht="18.75" customHeight="1">
      <c r="A30" s="72"/>
      <c r="B30" s="73"/>
      <c r="C30" s="74"/>
      <c r="D30" s="74"/>
      <c r="E30" s="74"/>
      <c r="F30" s="72"/>
      <c r="G30" s="76"/>
      <c r="H30" s="76"/>
      <c r="I30" s="72"/>
      <c r="J30" s="24"/>
      <c r="K30" s="24"/>
      <c r="L30" s="24"/>
      <c r="M30" s="24"/>
    </row>
    <row r="31" ht="18.75" customHeight="1">
      <c r="A31" s="72"/>
      <c r="B31" s="73"/>
      <c r="C31" s="74"/>
      <c r="D31" s="74"/>
      <c r="E31" s="74"/>
      <c r="F31" s="72"/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74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74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/>
      <c r="C34" s="74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74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74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74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74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74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74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74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74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74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74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74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74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74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74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74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74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74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74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74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74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74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74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74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74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74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74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74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74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74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74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74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74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74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74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74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74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74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74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74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74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74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74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74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74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74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74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74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74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74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74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74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74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74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74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74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74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74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74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74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74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74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74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74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74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74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74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74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74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74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74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74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74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74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74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74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74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74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74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74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74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74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74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74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74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74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74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74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74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74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74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74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74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74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74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74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74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74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74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74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74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74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74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74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74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74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74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74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74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74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74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74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74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74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74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74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74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74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74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74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74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74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74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74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74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74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74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74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74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74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74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74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74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74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74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74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74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74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74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74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74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74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74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74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74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74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74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74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74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74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74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74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74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74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74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74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74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74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74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74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74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74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74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74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74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74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74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74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74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74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74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74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74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74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74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74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74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74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74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74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74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74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74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74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74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74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74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74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74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74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74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74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74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74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74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11:B12"/>
    <mergeCell ref="B15:B16"/>
    <mergeCell ref="D15:D16"/>
    <mergeCell ref="E15:E16"/>
    <mergeCell ref="A1:M2"/>
    <mergeCell ref="J4:J27"/>
    <mergeCell ref="K4:K27"/>
    <mergeCell ref="L4:L27"/>
    <mergeCell ref="M4:M27"/>
    <mergeCell ref="D11:D12"/>
    <mergeCell ref="E11:E1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28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26" width="9.14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13" t="s">
        <v>4</v>
      </c>
      <c r="D3" s="16" t="s">
        <v>5</v>
      </c>
      <c r="E3" s="16" t="s">
        <v>6</v>
      </c>
      <c r="F3" s="13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16</v>
      </c>
      <c r="M3" s="23" t="s">
        <v>14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f t="shared" ref="A4:A9" si="3">ROW()-3</f>
        <v>1</v>
      </c>
      <c r="B4" s="30">
        <v>44874.0</v>
      </c>
      <c r="C4" s="31" t="s">
        <v>24</v>
      </c>
      <c r="D4" s="31" t="s">
        <v>27</v>
      </c>
      <c r="E4" s="31" t="s">
        <v>28</v>
      </c>
      <c r="F4" s="32">
        <v>1.0</v>
      </c>
      <c r="G4" s="33">
        <v>4450.0</v>
      </c>
      <c r="H4" s="33">
        <v>9000.0</v>
      </c>
      <c r="I4" s="33">
        <f t="shared" ref="I4:I18" si="4">(H4-G4)</f>
        <v>4550</v>
      </c>
      <c r="J4" s="35">
        <f t="shared" ref="J4:K4" si="1">SUM(H4:H40)</f>
        <v>101350</v>
      </c>
      <c r="K4" s="37">
        <f t="shared" si="1"/>
        <v>52800</v>
      </c>
      <c r="L4" s="39">
        <f t="shared" ref="L4:M4" si="2">J4/2</f>
        <v>50675</v>
      </c>
      <c r="M4" s="41">
        <f t="shared" si="2"/>
        <v>26400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f t="shared" si="3"/>
        <v>2</v>
      </c>
      <c r="B5" s="30">
        <v>44876.0</v>
      </c>
      <c r="C5" s="45" t="s">
        <v>45</v>
      </c>
      <c r="D5" s="31" t="s">
        <v>46</v>
      </c>
      <c r="E5" s="31" t="s">
        <v>47</v>
      </c>
      <c r="F5" s="32">
        <v>1.0</v>
      </c>
      <c r="G5" s="33">
        <v>4950.0</v>
      </c>
      <c r="H5" s="33">
        <v>9900.0</v>
      </c>
      <c r="I5" s="33">
        <f t="shared" si="4"/>
        <v>4950</v>
      </c>
      <c r="J5" s="48"/>
      <c r="K5" s="38"/>
      <c r="L5" s="38"/>
      <c r="M5" s="38"/>
    </row>
    <row r="6" ht="18.75" customHeight="1">
      <c r="A6" s="26">
        <f t="shared" si="3"/>
        <v>3</v>
      </c>
      <c r="B6" s="30">
        <v>44877.0</v>
      </c>
      <c r="C6" s="31" t="s">
        <v>55</v>
      </c>
      <c r="D6" s="31" t="s">
        <v>56</v>
      </c>
      <c r="E6" s="31" t="s">
        <v>57</v>
      </c>
      <c r="F6" s="32">
        <v>1.0</v>
      </c>
      <c r="G6" s="33">
        <v>3550.0</v>
      </c>
      <c r="H6" s="33">
        <v>7650.0</v>
      </c>
      <c r="I6" s="33">
        <f t="shared" si="4"/>
        <v>4100</v>
      </c>
      <c r="J6" s="48"/>
      <c r="K6" s="38"/>
      <c r="L6" s="38"/>
      <c r="M6" s="38"/>
    </row>
    <row r="7" ht="18.75" customHeight="1">
      <c r="A7" s="26">
        <f t="shared" si="3"/>
        <v>4</v>
      </c>
      <c r="B7" s="30">
        <v>44878.0</v>
      </c>
      <c r="C7" s="31" t="s">
        <v>63</v>
      </c>
      <c r="D7" s="31" t="s">
        <v>65</v>
      </c>
      <c r="E7" s="31" t="s">
        <v>67</v>
      </c>
      <c r="F7" s="32">
        <v>1.0</v>
      </c>
      <c r="G7" s="33">
        <v>1800.0</v>
      </c>
      <c r="H7" s="33">
        <v>3500.0</v>
      </c>
      <c r="I7" s="33">
        <f t="shared" si="4"/>
        <v>1700</v>
      </c>
      <c r="J7" s="48"/>
      <c r="K7" s="38"/>
      <c r="L7" s="38"/>
      <c r="M7" s="38"/>
    </row>
    <row r="8" ht="18.75" customHeight="1">
      <c r="A8" s="26">
        <f t="shared" si="3"/>
        <v>5</v>
      </c>
      <c r="B8" s="58">
        <v>44880.0</v>
      </c>
      <c r="C8" s="45" t="s">
        <v>45</v>
      </c>
      <c r="D8" s="31" t="s">
        <v>73</v>
      </c>
      <c r="E8" s="31" t="s">
        <v>66</v>
      </c>
      <c r="F8" s="32">
        <v>1.0</v>
      </c>
      <c r="G8" s="33">
        <v>4950.0</v>
      </c>
      <c r="H8" s="33">
        <v>9900.0</v>
      </c>
      <c r="I8" s="33">
        <f t="shared" si="4"/>
        <v>4950</v>
      </c>
      <c r="J8" s="48"/>
      <c r="K8" s="38"/>
      <c r="L8" s="38"/>
      <c r="M8" s="38"/>
    </row>
    <row r="9" ht="18.75" customHeight="1">
      <c r="A9" s="26">
        <f t="shared" si="3"/>
        <v>6</v>
      </c>
      <c r="B9" s="30">
        <v>44882.0</v>
      </c>
      <c r="C9" s="31" t="s">
        <v>75</v>
      </c>
      <c r="D9" s="31" t="s">
        <v>59</v>
      </c>
      <c r="E9" s="31" t="s">
        <v>80</v>
      </c>
      <c r="F9" s="32">
        <v>1.0</v>
      </c>
      <c r="G9" s="33">
        <v>1850.0</v>
      </c>
      <c r="H9" s="33">
        <v>4000.0</v>
      </c>
      <c r="I9" s="33">
        <f t="shared" si="4"/>
        <v>2150</v>
      </c>
      <c r="J9" s="48"/>
      <c r="K9" s="38"/>
      <c r="L9" s="38"/>
      <c r="M9" s="38"/>
    </row>
    <row r="10" ht="18.75" customHeight="1">
      <c r="A10" s="26">
        <v>7.0</v>
      </c>
      <c r="B10" s="30">
        <v>44883.0</v>
      </c>
      <c r="C10" s="31" t="s">
        <v>84</v>
      </c>
      <c r="D10" s="31" t="s">
        <v>85</v>
      </c>
      <c r="E10" s="31" t="s">
        <v>86</v>
      </c>
      <c r="F10" s="32">
        <v>1.0</v>
      </c>
      <c r="G10" s="33">
        <v>3550.0</v>
      </c>
      <c r="H10" s="33">
        <v>6750.0</v>
      </c>
      <c r="I10" s="33">
        <f t="shared" si="4"/>
        <v>3200</v>
      </c>
      <c r="J10" s="48"/>
      <c r="K10" s="38"/>
      <c r="L10" s="38"/>
      <c r="M10" s="38"/>
    </row>
    <row r="11" ht="18.75" customHeight="1">
      <c r="A11" s="26">
        <v>8.0</v>
      </c>
      <c r="B11" s="30">
        <v>44884.0</v>
      </c>
      <c r="C11" s="31" t="s">
        <v>90</v>
      </c>
      <c r="D11" s="31" t="s">
        <v>91</v>
      </c>
      <c r="E11" s="31" t="s">
        <v>92</v>
      </c>
      <c r="F11" s="32">
        <v>1.0</v>
      </c>
      <c r="G11" s="33">
        <v>2100.0</v>
      </c>
      <c r="H11" s="33">
        <v>5400.0</v>
      </c>
      <c r="I11" s="33">
        <f t="shared" si="4"/>
        <v>3300</v>
      </c>
      <c r="J11" s="48"/>
      <c r="K11" s="38"/>
      <c r="L11" s="38"/>
      <c r="M11" s="38"/>
    </row>
    <row r="12" ht="18.75" customHeight="1">
      <c r="A12" s="26">
        <f t="shared" ref="A12:A18" si="5">ROW()-3</f>
        <v>9</v>
      </c>
      <c r="B12" s="30">
        <v>44885.0</v>
      </c>
      <c r="C12" s="45" t="s">
        <v>45</v>
      </c>
      <c r="D12" s="31" t="s">
        <v>96</v>
      </c>
      <c r="E12" s="31" t="s">
        <v>97</v>
      </c>
      <c r="F12" s="32">
        <v>1.0</v>
      </c>
      <c r="G12" s="33">
        <v>4950.0</v>
      </c>
      <c r="H12" s="33">
        <v>9900.0</v>
      </c>
      <c r="I12" s="33">
        <f t="shared" si="4"/>
        <v>4950</v>
      </c>
      <c r="J12" s="48"/>
      <c r="K12" s="38"/>
      <c r="L12" s="38"/>
      <c r="M12" s="38"/>
    </row>
    <row r="13" ht="18.75" customHeight="1">
      <c r="A13" s="26">
        <f t="shared" si="5"/>
        <v>10</v>
      </c>
      <c r="B13" s="30">
        <v>44886.0</v>
      </c>
      <c r="C13" s="31" t="s">
        <v>55</v>
      </c>
      <c r="D13" s="31" t="s">
        <v>100</v>
      </c>
      <c r="E13" s="31" t="s">
        <v>31</v>
      </c>
      <c r="F13" s="32">
        <v>1.0</v>
      </c>
      <c r="G13" s="33">
        <v>3550.0</v>
      </c>
      <c r="H13" s="33">
        <v>7650.0</v>
      </c>
      <c r="I13" s="33">
        <f t="shared" si="4"/>
        <v>4100</v>
      </c>
      <c r="J13" s="48"/>
      <c r="K13" s="38"/>
      <c r="L13" s="38"/>
      <c r="M13" s="38"/>
    </row>
    <row r="14" ht="18.75" customHeight="1">
      <c r="A14" s="26">
        <f t="shared" si="5"/>
        <v>11</v>
      </c>
      <c r="B14" s="30">
        <v>44888.0</v>
      </c>
      <c r="C14" s="31" t="s">
        <v>104</v>
      </c>
      <c r="D14" s="31" t="s">
        <v>105</v>
      </c>
      <c r="E14" s="31" t="s">
        <v>106</v>
      </c>
      <c r="F14" s="32">
        <v>1.0</v>
      </c>
      <c r="G14" s="33">
        <v>2400.0</v>
      </c>
      <c r="H14" s="33">
        <v>6300.0</v>
      </c>
      <c r="I14" s="33">
        <f t="shared" si="4"/>
        <v>3900</v>
      </c>
      <c r="J14" s="48"/>
      <c r="K14" s="38"/>
      <c r="L14" s="38"/>
      <c r="M14" s="38"/>
    </row>
    <row r="15" ht="18.75" customHeight="1">
      <c r="A15" s="26">
        <f t="shared" si="5"/>
        <v>12</v>
      </c>
      <c r="B15" s="30">
        <v>44890.0</v>
      </c>
      <c r="C15" s="45" t="s">
        <v>45</v>
      </c>
      <c r="D15" s="69" t="s">
        <v>110</v>
      </c>
      <c r="E15" s="69" t="s">
        <v>111</v>
      </c>
      <c r="F15" s="32">
        <v>1.0</v>
      </c>
      <c r="G15" s="33">
        <v>4950.0</v>
      </c>
      <c r="H15" s="33">
        <v>9900.0</v>
      </c>
      <c r="I15" s="33">
        <f t="shared" si="4"/>
        <v>4950</v>
      </c>
      <c r="J15" s="48"/>
      <c r="K15" s="38"/>
      <c r="L15" s="38"/>
      <c r="M15" s="38"/>
    </row>
    <row r="16" ht="18.75" customHeight="1">
      <c r="A16" s="26">
        <f t="shared" si="5"/>
        <v>13</v>
      </c>
      <c r="B16" s="30">
        <v>44890.0</v>
      </c>
      <c r="C16" s="31" t="s">
        <v>75</v>
      </c>
      <c r="D16" s="69" t="s">
        <v>113</v>
      </c>
      <c r="E16" s="69" t="s">
        <v>114</v>
      </c>
      <c r="F16" s="32">
        <v>1.0</v>
      </c>
      <c r="G16" s="70">
        <v>1850.0</v>
      </c>
      <c r="H16" s="33">
        <v>4000.0</v>
      </c>
      <c r="I16" s="33">
        <f t="shared" si="4"/>
        <v>2150</v>
      </c>
      <c r="J16" s="48"/>
      <c r="K16" s="38"/>
      <c r="L16" s="38"/>
      <c r="M16" s="38"/>
    </row>
    <row r="17" ht="18.75" customHeight="1">
      <c r="A17" s="26">
        <f t="shared" si="5"/>
        <v>14</v>
      </c>
      <c r="B17" s="30">
        <v>44893.0</v>
      </c>
      <c r="C17" s="31" t="s">
        <v>118</v>
      </c>
      <c r="D17" s="31" t="s">
        <v>119</v>
      </c>
      <c r="E17" s="31" t="s">
        <v>120</v>
      </c>
      <c r="F17" s="32">
        <v>1.0</v>
      </c>
      <c r="G17" s="33">
        <v>1800.0</v>
      </c>
      <c r="H17" s="33">
        <v>3500.0</v>
      </c>
      <c r="I17" s="33">
        <f t="shared" si="4"/>
        <v>1700</v>
      </c>
      <c r="J17" s="48"/>
      <c r="K17" s="38"/>
      <c r="L17" s="38"/>
      <c r="M17" s="38"/>
    </row>
    <row r="18" ht="18.75" customHeight="1">
      <c r="A18" s="26">
        <f t="shared" si="5"/>
        <v>15</v>
      </c>
      <c r="B18" s="30">
        <v>44896.0</v>
      </c>
      <c r="C18" s="31" t="s">
        <v>75</v>
      </c>
      <c r="D18" s="31" t="s">
        <v>59</v>
      </c>
      <c r="E18" s="31" t="s">
        <v>111</v>
      </c>
      <c r="F18" s="32">
        <v>1.0</v>
      </c>
      <c r="G18" s="33">
        <v>1850.0</v>
      </c>
      <c r="H18" s="33">
        <v>4000.0</v>
      </c>
      <c r="I18" s="33">
        <f t="shared" si="4"/>
        <v>2150</v>
      </c>
      <c r="J18" s="48"/>
      <c r="K18" s="38"/>
      <c r="L18" s="38"/>
      <c r="M18" s="38"/>
    </row>
    <row r="19" ht="18.75" customHeight="1">
      <c r="A19" s="26"/>
      <c r="B19" s="30"/>
      <c r="C19" s="31"/>
      <c r="D19" s="31"/>
      <c r="E19" s="31"/>
      <c r="F19" s="32"/>
      <c r="G19" s="33"/>
      <c r="H19" s="33"/>
      <c r="I19" s="33"/>
      <c r="J19" s="48"/>
      <c r="K19" s="38"/>
      <c r="L19" s="38"/>
      <c r="M19" s="38"/>
    </row>
    <row r="20" ht="18.75" customHeight="1">
      <c r="A20" s="26">
        <f t="shared" ref="A20:A21" si="6">ROW()-3</f>
        <v>17</v>
      </c>
      <c r="B20" s="30"/>
      <c r="C20" s="31"/>
      <c r="D20" s="31"/>
      <c r="E20" s="31"/>
      <c r="F20" s="32"/>
      <c r="G20" s="33"/>
      <c r="H20" s="33"/>
      <c r="I20" s="33">
        <f t="shared" ref="I20:I28" si="7">(H20-G20)</f>
        <v>0</v>
      </c>
      <c r="J20" s="48"/>
      <c r="K20" s="38"/>
      <c r="L20" s="38"/>
      <c r="M20" s="38"/>
    </row>
    <row r="21" ht="18.75" customHeight="1">
      <c r="A21" s="26">
        <f t="shared" si="6"/>
        <v>18</v>
      </c>
      <c r="B21" s="30"/>
      <c r="C21" s="31"/>
      <c r="D21" s="31"/>
      <c r="E21" s="31"/>
      <c r="F21" s="32"/>
      <c r="G21" s="33"/>
      <c r="H21" s="33"/>
      <c r="I21" s="33">
        <f t="shared" si="7"/>
        <v>0</v>
      </c>
      <c r="J21" s="48"/>
      <c r="K21" s="38"/>
      <c r="L21" s="38"/>
      <c r="M21" s="38"/>
    </row>
    <row r="22" ht="18.75" customHeight="1">
      <c r="A22" s="26">
        <v>7.0</v>
      </c>
      <c r="B22" s="30"/>
      <c r="C22" s="31"/>
      <c r="D22" s="31"/>
      <c r="E22" s="31"/>
      <c r="F22" s="32"/>
      <c r="G22" s="33"/>
      <c r="H22" s="33"/>
      <c r="I22" s="33">
        <f t="shared" si="7"/>
        <v>0</v>
      </c>
      <c r="J22" s="48"/>
      <c r="K22" s="38"/>
      <c r="L22" s="38"/>
      <c r="M22" s="38"/>
    </row>
    <row r="23" ht="18.75" customHeight="1">
      <c r="A23" s="26">
        <v>8.0</v>
      </c>
      <c r="B23" s="30"/>
      <c r="C23" s="31"/>
      <c r="D23" s="31"/>
      <c r="E23" s="31"/>
      <c r="F23" s="32"/>
      <c r="G23" s="33"/>
      <c r="H23" s="33"/>
      <c r="I23" s="33">
        <f t="shared" si="7"/>
        <v>0</v>
      </c>
      <c r="J23" s="48"/>
      <c r="K23" s="38"/>
      <c r="L23" s="38"/>
      <c r="M23" s="38"/>
    </row>
    <row r="24" ht="18.75" customHeight="1">
      <c r="A24" s="26">
        <f t="shared" ref="A24:A25" si="8">ROW()-3</f>
        <v>21</v>
      </c>
      <c r="B24" s="30"/>
      <c r="C24" s="31"/>
      <c r="D24" s="31"/>
      <c r="E24" s="31"/>
      <c r="F24" s="32"/>
      <c r="G24" s="33"/>
      <c r="H24" s="33"/>
      <c r="I24" s="33">
        <f t="shared" si="7"/>
        <v>0</v>
      </c>
      <c r="J24" s="48"/>
      <c r="K24" s="38"/>
      <c r="L24" s="38"/>
      <c r="M24" s="38"/>
    </row>
    <row r="25" ht="18.75" customHeight="1">
      <c r="A25" s="26">
        <f t="shared" si="8"/>
        <v>22</v>
      </c>
      <c r="B25" s="30"/>
      <c r="C25" s="31"/>
      <c r="D25" s="31"/>
      <c r="E25" s="31"/>
      <c r="F25" s="32"/>
      <c r="G25" s="33"/>
      <c r="H25" s="33"/>
      <c r="I25" s="33">
        <f t="shared" si="7"/>
        <v>0</v>
      </c>
      <c r="J25" s="48"/>
      <c r="K25" s="38"/>
      <c r="L25" s="38"/>
      <c r="M25" s="38"/>
    </row>
    <row r="26" ht="18.75" customHeight="1">
      <c r="A26" s="26">
        <v>13.0</v>
      </c>
      <c r="B26" s="30"/>
      <c r="C26" s="31"/>
      <c r="D26" s="31"/>
      <c r="E26" s="31"/>
      <c r="F26" s="32"/>
      <c r="G26" s="33"/>
      <c r="H26" s="33"/>
      <c r="I26" s="33">
        <f t="shared" si="7"/>
        <v>0</v>
      </c>
      <c r="J26" s="48"/>
      <c r="K26" s="38"/>
      <c r="L26" s="38"/>
      <c r="M26" s="38"/>
    </row>
    <row r="27" ht="18.75" customHeight="1">
      <c r="A27" s="26">
        <v>14.0</v>
      </c>
      <c r="B27" s="30"/>
      <c r="C27" s="31"/>
      <c r="D27" s="31"/>
      <c r="E27" s="31"/>
      <c r="F27" s="32"/>
      <c r="G27" s="33"/>
      <c r="H27" s="33"/>
      <c r="I27" s="33">
        <f t="shared" si="7"/>
        <v>0</v>
      </c>
      <c r="J27" s="48"/>
      <c r="K27" s="38"/>
      <c r="L27" s="38"/>
      <c r="M27" s="38"/>
    </row>
    <row r="28" ht="18.75" customHeight="1">
      <c r="A28" s="26">
        <v>15.0</v>
      </c>
      <c r="B28" s="30"/>
      <c r="C28" s="31"/>
      <c r="D28" s="31"/>
      <c r="E28" s="31"/>
      <c r="F28" s="32"/>
      <c r="G28" s="33"/>
      <c r="H28" s="33"/>
      <c r="I28" s="33">
        <f t="shared" si="7"/>
        <v>0</v>
      </c>
      <c r="J28" s="71"/>
      <c r="K28" s="47"/>
      <c r="L28" s="47"/>
      <c r="M28" s="47"/>
    </row>
    <row r="29" ht="18.75" customHeight="1">
      <c r="A29" s="72"/>
      <c r="B29" s="73"/>
      <c r="C29" s="74"/>
      <c r="D29" s="74"/>
      <c r="E29" s="74"/>
      <c r="F29" s="77">
        <f>SUM(F4:F28)</f>
        <v>15</v>
      </c>
      <c r="G29" s="76"/>
      <c r="H29" s="76"/>
      <c r="I29" s="72"/>
      <c r="J29" s="24"/>
      <c r="K29" s="24"/>
      <c r="L29" s="24"/>
      <c r="M29" s="24"/>
    </row>
    <row r="30" ht="18.75" customHeight="1">
      <c r="A30" s="72"/>
      <c r="B30" s="73"/>
      <c r="C30" s="74"/>
      <c r="D30" s="74"/>
      <c r="E30" s="74"/>
      <c r="F30" s="72"/>
      <c r="G30" s="76"/>
      <c r="H30" s="76"/>
      <c r="I30" s="72"/>
      <c r="J30" s="24"/>
      <c r="K30" s="24"/>
      <c r="L30" s="24"/>
      <c r="M30" s="24"/>
    </row>
    <row r="31" ht="18.75" customHeight="1">
      <c r="A31" s="72"/>
      <c r="B31" s="73"/>
      <c r="C31" s="74"/>
      <c r="D31" s="74"/>
      <c r="E31" s="74"/>
      <c r="F31" s="72"/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 t="s">
        <v>123</v>
      </c>
      <c r="C32" s="74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74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/>
      <c r="C34" s="74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74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74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74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74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74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74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74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74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74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74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74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74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74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74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74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74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74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74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74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74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74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74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74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74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74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74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74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74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74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74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74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74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74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74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74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74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74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74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74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74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74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74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74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74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74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74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74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74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74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74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74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74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74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74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74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74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74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74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74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74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74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74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74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74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74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74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74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74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74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74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74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74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74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74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74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74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74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74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74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74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74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74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74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74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74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74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74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74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74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74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74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74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74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74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74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74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74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74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74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74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74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74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74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74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74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74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74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74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74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74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74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74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74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74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74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74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74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74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74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74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74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74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74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74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74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74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74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74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74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74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74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74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74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74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74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74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74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74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74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74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74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74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74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74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74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74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74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74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74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74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74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74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74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74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74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74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74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74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74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74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74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74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74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74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74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74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74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74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74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74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74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74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74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74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74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74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74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74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74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74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74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74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74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74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74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74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74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74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74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74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74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74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74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74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74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74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74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74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M2"/>
    <mergeCell ref="J4:J28"/>
    <mergeCell ref="K4:K28"/>
    <mergeCell ref="L4:L28"/>
    <mergeCell ref="M4:M2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1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10.86"/>
    <col customWidth="1" min="15" max="26" width="9.14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78" t="s">
        <v>4</v>
      </c>
      <c r="D3" s="16" t="s">
        <v>5</v>
      </c>
      <c r="E3" s="16" t="s">
        <v>6</v>
      </c>
      <c r="F3" s="13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v>1.0</v>
      </c>
      <c r="B4" s="79">
        <v>44904.0</v>
      </c>
      <c r="C4" s="80" t="s">
        <v>125</v>
      </c>
      <c r="D4" s="81" t="s">
        <v>126</v>
      </c>
      <c r="E4" s="31"/>
      <c r="F4" s="32">
        <v>1.0</v>
      </c>
      <c r="G4" s="33">
        <v>470.0</v>
      </c>
      <c r="H4" s="33">
        <v>1800.0</v>
      </c>
      <c r="I4" s="33">
        <f t="shared" ref="I4:I29" si="3">H4-G4</f>
        <v>1330</v>
      </c>
      <c r="J4" s="19">
        <f t="shared" ref="J4:K4" si="1">SUM(H4:H41)</f>
        <v>125900</v>
      </c>
      <c r="K4" s="37">
        <f t="shared" si="1"/>
        <v>67330</v>
      </c>
      <c r="L4" s="39">
        <f t="shared" ref="L4:M4" si="2">J4/2</f>
        <v>62950</v>
      </c>
      <c r="M4" s="41">
        <f t="shared" si="2"/>
        <v>33665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v>2.0</v>
      </c>
      <c r="B5" s="79">
        <v>44905.0</v>
      </c>
      <c r="C5" s="80" t="s">
        <v>127</v>
      </c>
      <c r="D5" s="81" t="s">
        <v>128</v>
      </c>
      <c r="E5" s="31" t="s">
        <v>61</v>
      </c>
      <c r="F5" s="32">
        <v>1.0</v>
      </c>
      <c r="G5" s="33">
        <v>5000.0</v>
      </c>
      <c r="H5" s="33">
        <v>11250.0</v>
      </c>
      <c r="I5" s="33">
        <f t="shared" si="3"/>
        <v>6250</v>
      </c>
      <c r="J5" s="38"/>
      <c r="K5" s="38"/>
      <c r="L5" s="38"/>
      <c r="M5" s="38"/>
    </row>
    <row r="6" ht="18.75" customHeight="1">
      <c r="A6" s="26">
        <v>3.0</v>
      </c>
      <c r="B6" s="79">
        <v>44906.0</v>
      </c>
      <c r="C6" s="80" t="s">
        <v>75</v>
      </c>
      <c r="D6" s="81" t="s">
        <v>129</v>
      </c>
      <c r="E6" s="31" t="s">
        <v>130</v>
      </c>
      <c r="F6" s="32">
        <v>1.0</v>
      </c>
      <c r="G6" s="33">
        <v>1850.0</v>
      </c>
      <c r="H6" s="33">
        <v>4000.0</v>
      </c>
      <c r="I6" s="33">
        <f t="shared" si="3"/>
        <v>2150</v>
      </c>
      <c r="J6" s="38"/>
      <c r="K6" s="38"/>
      <c r="L6" s="38"/>
      <c r="M6" s="38"/>
      <c r="N6" s="57" t="s">
        <v>131</v>
      </c>
    </row>
    <row r="7" ht="18.75" customHeight="1">
      <c r="A7" s="26">
        <v>4.0</v>
      </c>
      <c r="B7" s="79">
        <v>44906.0</v>
      </c>
      <c r="C7" s="80" t="s">
        <v>132</v>
      </c>
      <c r="D7" s="81" t="s">
        <v>133</v>
      </c>
      <c r="E7" s="31" t="s">
        <v>134</v>
      </c>
      <c r="F7" s="32">
        <v>1.0</v>
      </c>
      <c r="G7" s="33">
        <v>4950.0</v>
      </c>
      <c r="H7" s="33">
        <v>9900.0</v>
      </c>
      <c r="I7" s="33">
        <f t="shared" si="3"/>
        <v>4950</v>
      </c>
      <c r="J7" s="38"/>
      <c r="K7" s="38"/>
      <c r="L7" s="38"/>
      <c r="M7" s="38"/>
    </row>
    <row r="8" ht="18.75" customHeight="1">
      <c r="A8" s="26">
        <v>5.0</v>
      </c>
      <c r="B8" s="82">
        <v>44907.0</v>
      </c>
      <c r="C8" s="80" t="s">
        <v>127</v>
      </c>
      <c r="D8" s="81" t="s">
        <v>135</v>
      </c>
      <c r="E8" s="31" t="s">
        <v>47</v>
      </c>
      <c r="F8" s="32">
        <v>1.0</v>
      </c>
      <c r="G8" s="33">
        <v>5000.0</v>
      </c>
      <c r="H8" s="33">
        <v>11250.0</v>
      </c>
      <c r="I8" s="33">
        <f t="shared" si="3"/>
        <v>6250</v>
      </c>
      <c r="J8" s="38"/>
      <c r="K8" s="38"/>
      <c r="L8" s="38"/>
      <c r="M8" s="38"/>
    </row>
    <row r="9" ht="18.75" customHeight="1">
      <c r="A9" s="26">
        <v>6.0</v>
      </c>
      <c r="B9" s="79">
        <v>44908.0</v>
      </c>
      <c r="C9" s="80" t="s">
        <v>127</v>
      </c>
      <c r="D9" s="81" t="s">
        <v>88</v>
      </c>
      <c r="E9" s="31" t="s">
        <v>136</v>
      </c>
      <c r="F9" s="32">
        <v>1.0</v>
      </c>
      <c r="G9" s="33">
        <v>5000.0</v>
      </c>
      <c r="H9" s="33">
        <v>11250.0</v>
      </c>
      <c r="I9" s="33">
        <f t="shared" si="3"/>
        <v>6250</v>
      </c>
      <c r="J9" s="38"/>
      <c r="K9" s="38"/>
      <c r="L9" s="38"/>
      <c r="M9" s="38"/>
    </row>
    <row r="10" ht="18.75" customHeight="1">
      <c r="A10" s="26">
        <v>7.0</v>
      </c>
      <c r="B10" s="79">
        <v>44910.0</v>
      </c>
      <c r="C10" s="80" t="s">
        <v>137</v>
      </c>
      <c r="D10" s="81" t="s">
        <v>138</v>
      </c>
      <c r="E10" s="31" t="s">
        <v>106</v>
      </c>
      <c r="F10" s="32">
        <v>1.0</v>
      </c>
      <c r="G10" s="33">
        <v>3550.0</v>
      </c>
      <c r="H10" s="33">
        <v>7650.0</v>
      </c>
      <c r="I10" s="33">
        <f t="shared" si="3"/>
        <v>4100</v>
      </c>
      <c r="J10" s="38"/>
      <c r="K10" s="38"/>
      <c r="L10" s="38"/>
      <c r="M10" s="38"/>
      <c r="N10" s="83" t="s">
        <v>139</v>
      </c>
    </row>
    <row r="11" ht="18.75" customHeight="1">
      <c r="A11" s="26">
        <v>8.0</v>
      </c>
      <c r="B11" s="79">
        <v>44911.0</v>
      </c>
      <c r="C11" s="80" t="s">
        <v>137</v>
      </c>
      <c r="D11" s="81" t="s">
        <v>140</v>
      </c>
      <c r="E11" s="31" t="s">
        <v>61</v>
      </c>
      <c r="F11" s="32">
        <v>1.0</v>
      </c>
      <c r="G11" s="33">
        <v>3550.0</v>
      </c>
      <c r="H11" s="33">
        <v>7650.0</v>
      </c>
      <c r="I11" s="33">
        <f t="shared" si="3"/>
        <v>4100</v>
      </c>
      <c r="J11" s="38"/>
      <c r="K11" s="38"/>
      <c r="L11" s="38"/>
      <c r="M11" s="38"/>
    </row>
    <row r="12" ht="18.75" customHeight="1">
      <c r="A12" s="26">
        <v>9.0</v>
      </c>
      <c r="B12" s="79">
        <v>44911.0</v>
      </c>
      <c r="C12" s="80" t="s">
        <v>137</v>
      </c>
      <c r="D12" s="81" t="s">
        <v>141</v>
      </c>
      <c r="E12" s="31" t="s">
        <v>28</v>
      </c>
      <c r="F12" s="32">
        <v>1.0</v>
      </c>
      <c r="G12" s="33">
        <v>3550.0</v>
      </c>
      <c r="H12" s="33">
        <v>8000.0</v>
      </c>
      <c r="I12" s="33">
        <f t="shared" si="3"/>
        <v>4450</v>
      </c>
      <c r="J12" s="38"/>
      <c r="K12" s="38"/>
      <c r="L12" s="38"/>
      <c r="M12" s="38"/>
    </row>
    <row r="13" ht="18.75" customHeight="1">
      <c r="A13" s="26">
        <v>10.0</v>
      </c>
      <c r="B13" s="79">
        <v>44912.0</v>
      </c>
      <c r="C13" s="80" t="s">
        <v>142</v>
      </c>
      <c r="D13" s="81" t="s">
        <v>71</v>
      </c>
      <c r="E13" s="31" t="s">
        <v>23</v>
      </c>
      <c r="F13" s="32">
        <v>1.0</v>
      </c>
      <c r="G13" s="33">
        <v>2400.0</v>
      </c>
      <c r="H13" s="33">
        <v>6300.0</v>
      </c>
      <c r="I13" s="33">
        <f t="shared" si="3"/>
        <v>3900</v>
      </c>
      <c r="J13" s="38"/>
      <c r="K13" s="38"/>
      <c r="L13" s="38"/>
      <c r="M13" s="38"/>
      <c r="N13" s="83" t="s">
        <v>143</v>
      </c>
    </row>
    <row r="14" ht="18.75" customHeight="1">
      <c r="A14" s="26">
        <v>11.0</v>
      </c>
      <c r="B14" s="79">
        <v>44913.0</v>
      </c>
      <c r="C14" s="80" t="s">
        <v>75</v>
      </c>
      <c r="D14" s="81" t="s">
        <v>144</v>
      </c>
      <c r="E14" s="31" t="s">
        <v>93</v>
      </c>
      <c r="F14" s="32">
        <v>1.0</v>
      </c>
      <c r="G14" s="33">
        <v>1850.0</v>
      </c>
      <c r="H14" s="33">
        <v>4000.0</v>
      </c>
      <c r="I14" s="33">
        <f t="shared" si="3"/>
        <v>2150</v>
      </c>
      <c r="J14" s="38"/>
      <c r="K14" s="38"/>
      <c r="L14" s="38"/>
      <c r="M14" s="38"/>
    </row>
    <row r="15" ht="18.75" customHeight="1">
      <c r="A15" s="26">
        <v>12.0</v>
      </c>
      <c r="B15" s="79">
        <v>44917.0</v>
      </c>
      <c r="C15" s="80" t="s">
        <v>145</v>
      </c>
      <c r="D15" s="84" t="s">
        <v>77</v>
      </c>
      <c r="E15" s="69" t="s">
        <v>97</v>
      </c>
      <c r="F15" s="32">
        <v>1.0</v>
      </c>
      <c r="G15" s="33">
        <v>4450.0</v>
      </c>
      <c r="H15" s="33">
        <v>8000.0</v>
      </c>
      <c r="I15" s="33">
        <f t="shared" si="3"/>
        <v>3550</v>
      </c>
      <c r="J15" s="38"/>
      <c r="K15" s="38"/>
      <c r="L15" s="38"/>
      <c r="M15" s="38"/>
    </row>
    <row r="16" ht="18.75" customHeight="1">
      <c r="A16" s="26">
        <v>13.0</v>
      </c>
      <c r="B16" s="30">
        <v>44922.0</v>
      </c>
      <c r="C16" s="85" t="s">
        <v>40</v>
      </c>
      <c r="D16" s="69" t="s">
        <v>146</v>
      </c>
      <c r="E16" s="69" t="s">
        <v>147</v>
      </c>
      <c r="F16" s="32">
        <v>1.0</v>
      </c>
      <c r="G16" s="70">
        <v>2500.0</v>
      </c>
      <c r="H16" s="33">
        <v>5000.0</v>
      </c>
      <c r="I16" s="33">
        <f t="shared" si="3"/>
        <v>2500</v>
      </c>
      <c r="J16" s="38"/>
      <c r="K16" s="38"/>
      <c r="L16" s="38"/>
      <c r="M16" s="38"/>
      <c r="N16" s="83" t="s">
        <v>148</v>
      </c>
    </row>
    <row r="17" ht="18.75" customHeight="1">
      <c r="A17" s="26">
        <v>14.0</v>
      </c>
      <c r="B17" s="30">
        <v>44923.0</v>
      </c>
      <c r="C17" s="86" t="s">
        <v>127</v>
      </c>
      <c r="D17" s="31" t="s">
        <v>149</v>
      </c>
      <c r="E17" s="31" t="s">
        <v>150</v>
      </c>
      <c r="F17" s="32">
        <v>1.0</v>
      </c>
      <c r="G17" s="33">
        <v>5000.0</v>
      </c>
      <c r="H17" s="33">
        <v>11250.0</v>
      </c>
      <c r="I17" s="33">
        <f t="shared" si="3"/>
        <v>6250</v>
      </c>
      <c r="J17" s="38"/>
      <c r="K17" s="38"/>
      <c r="L17" s="38"/>
      <c r="M17" s="38"/>
      <c r="N17" s="83" t="s">
        <v>151</v>
      </c>
    </row>
    <row r="18" ht="18.75" customHeight="1">
      <c r="A18" s="26">
        <v>15.0</v>
      </c>
      <c r="B18" s="64">
        <v>44924.0</v>
      </c>
      <c r="C18" s="86" t="s">
        <v>152</v>
      </c>
      <c r="D18" s="67" t="s">
        <v>72</v>
      </c>
      <c r="E18" s="67" t="s">
        <v>93</v>
      </c>
      <c r="F18" s="32">
        <v>1.0</v>
      </c>
      <c r="G18" s="33">
        <v>3650.0</v>
      </c>
      <c r="H18" s="33">
        <v>7300.0</v>
      </c>
      <c r="I18" s="33">
        <f t="shared" si="3"/>
        <v>3650</v>
      </c>
      <c r="J18" s="38"/>
      <c r="K18" s="38"/>
      <c r="L18" s="38"/>
      <c r="M18" s="38"/>
      <c r="N18" s="83" t="s">
        <v>153</v>
      </c>
    </row>
    <row r="19" ht="18.75" customHeight="1">
      <c r="A19" s="26">
        <v>16.0</v>
      </c>
      <c r="B19" s="38"/>
      <c r="C19" s="86" t="s">
        <v>40</v>
      </c>
      <c r="D19" s="38"/>
      <c r="E19" s="38"/>
      <c r="F19" s="32">
        <v>1.0</v>
      </c>
      <c r="G19" s="70">
        <v>2500.0</v>
      </c>
      <c r="H19" s="33">
        <v>4500.0</v>
      </c>
      <c r="I19" s="33">
        <f t="shared" si="3"/>
        <v>2000</v>
      </c>
      <c r="J19" s="38"/>
      <c r="K19" s="38"/>
      <c r="L19" s="38"/>
      <c r="M19" s="38"/>
    </row>
    <row r="20" ht="18.75" customHeight="1">
      <c r="A20" s="26">
        <v>17.0</v>
      </c>
      <c r="B20" s="47"/>
      <c r="C20" s="86" t="s">
        <v>154</v>
      </c>
      <c r="D20" s="47"/>
      <c r="E20" s="47"/>
      <c r="F20" s="32">
        <v>1.0</v>
      </c>
      <c r="G20" s="70">
        <v>800.0</v>
      </c>
      <c r="H20" s="33">
        <v>1800.0</v>
      </c>
      <c r="I20" s="33">
        <f t="shared" si="3"/>
        <v>1000</v>
      </c>
      <c r="J20" s="38"/>
      <c r="K20" s="38"/>
      <c r="L20" s="38"/>
      <c r="M20" s="38"/>
    </row>
    <row r="21" ht="18.75" customHeight="1">
      <c r="A21" s="26">
        <v>18.0</v>
      </c>
      <c r="B21" s="30">
        <v>44926.0</v>
      </c>
      <c r="C21" s="86" t="s">
        <v>40</v>
      </c>
      <c r="D21" s="31" t="s">
        <v>155</v>
      </c>
      <c r="E21" s="31" t="s">
        <v>156</v>
      </c>
      <c r="F21" s="32">
        <v>1.0</v>
      </c>
      <c r="G21" s="33">
        <v>2500.0</v>
      </c>
      <c r="H21" s="33">
        <v>5000.0</v>
      </c>
      <c r="I21" s="33">
        <f t="shared" si="3"/>
        <v>2500</v>
      </c>
      <c r="J21" s="38"/>
      <c r="K21" s="38"/>
      <c r="L21" s="38"/>
      <c r="M21" s="38"/>
    </row>
    <row r="22" ht="18.75" customHeight="1">
      <c r="A22" s="26">
        <v>19.0</v>
      </c>
      <c r="B22" s="30"/>
      <c r="C22" s="86"/>
      <c r="D22" s="31"/>
      <c r="E22" s="31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26">
        <v>20.0</v>
      </c>
      <c r="B23" s="30"/>
      <c r="C23" s="86"/>
      <c r="D23" s="31"/>
      <c r="E23" s="31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26">
        <v>21.0</v>
      </c>
      <c r="B24" s="30"/>
      <c r="C24" s="86"/>
      <c r="D24" s="31"/>
      <c r="E24" s="31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26">
        <v>22.0</v>
      </c>
      <c r="B25" s="30"/>
      <c r="C25" s="86"/>
      <c r="D25" s="31"/>
      <c r="E25" s="31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26">
        <v>23.0</v>
      </c>
      <c r="B26" s="30"/>
      <c r="C26" s="86"/>
      <c r="D26" s="31"/>
      <c r="E26" s="31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26">
        <v>24.0</v>
      </c>
      <c r="B27" s="30"/>
      <c r="C27" s="86"/>
      <c r="D27" s="31"/>
      <c r="E27" s="31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26">
        <v>25.0</v>
      </c>
      <c r="B28" s="30"/>
      <c r="C28" s="86"/>
      <c r="D28" s="31"/>
      <c r="E28" s="31"/>
      <c r="F28" s="32"/>
      <c r="G28" s="33"/>
      <c r="H28" s="33"/>
      <c r="I28" s="33">
        <f t="shared" si="3"/>
        <v>0</v>
      </c>
      <c r="J28" s="38"/>
      <c r="K28" s="38"/>
      <c r="L28" s="38"/>
      <c r="M28" s="38"/>
    </row>
    <row r="29" ht="18.75" customHeight="1">
      <c r="A29" s="26">
        <v>26.0</v>
      </c>
      <c r="B29" s="30"/>
      <c r="C29" s="86"/>
      <c r="D29" s="31"/>
      <c r="E29" s="31"/>
      <c r="F29" s="32"/>
      <c r="G29" s="33"/>
      <c r="H29" s="33"/>
      <c r="I29" s="33">
        <f t="shared" si="3"/>
        <v>0</v>
      </c>
      <c r="J29" s="47"/>
      <c r="K29" s="47"/>
      <c r="L29" s="47"/>
      <c r="M29" s="47"/>
    </row>
    <row r="30" ht="18.75" customHeight="1">
      <c r="A30" s="72"/>
      <c r="B30" s="73"/>
      <c r="C30" s="87"/>
      <c r="D30" s="74"/>
      <c r="E30" s="74"/>
      <c r="F30" s="77">
        <f>SUM(F4:F29)</f>
        <v>18</v>
      </c>
      <c r="G30" s="76"/>
      <c r="H30" s="76"/>
      <c r="I30" s="72"/>
      <c r="J30" s="24"/>
      <c r="K30" s="24"/>
      <c r="L30" s="24"/>
      <c r="M30" s="24"/>
    </row>
    <row r="31" ht="18.75" customHeight="1">
      <c r="A31" s="72"/>
      <c r="B31" s="73"/>
      <c r="C31" s="87"/>
      <c r="D31" s="74"/>
      <c r="E31" s="74"/>
      <c r="F31" s="72"/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 t="s">
        <v>123</v>
      </c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/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M2"/>
    <mergeCell ref="J4:J29"/>
    <mergeCell ref="K4:K29"/>
    <mergeCell ref="L4:L29"/>
    <mergeCell ref="M4:M29"/>
    <mergeCell ref="B18:B20"/>
    <mergeCell ref="D18:D20"/>
    <mergeCell ref="E18:E20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1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10.86"/>
    <col customWidth="1" min="15" max="26" width="9.14"/>
  </cols>
  <sheetData>
    <row r="1" ht="24.0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78" t="s">
        <v>4</v>
      </c>
      <c r="D3" s="16" t="s">
        <v>5</v>
      </c>
      <c r="E3" s="16" t="s">
        <v>6</v>
      </c>
      <c r="F3" s="13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v>1.0</v>
      </c>
      <c r="B4" s="79">
        <v>44944.0</v>
      </c>
      <c r="C4" s="80" t="s">
        <v>158</v>
      </c>
      <c r="D4" s="81" t="s">
        <v>159</v>
      </c>
      <c r="E4" s="31" t="s">
        <v>160</v>
      </c>
      <c r="F4" s="32">
        <v>3.0</v>
      </c>
      <c r="G4" s="33">
        <f>3450*3</f>
        <v>10350</v>
      </c>
      <c r="H4" s="33">
        <f>6750*3</f>
        <v>20250</v>
      </c>
      <c r="I4" s="33">
        <f t="shared" ref="I4:I29" si="3">H4-G4</f>
        <v>9900</v>
      </c>
      <c r="J4" s="19">
        <f t="shared" ref="J4:K4" si="1">SUM(H4:H41)</f>
        <v>36950</v>
      </c>
      <c r="K4" s="37">
        <f t="shared" si="1"/>
        <v>18550</v>
      </c>
      <c r="L4" s="39">
        <f t="shared" ref="L4:M4" si="2">J4/2</f>
        <v>18475</v>
      </c>
      <c r="M4" s="41">
        <f t="shared" si="2"/>
        <v>9275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v>2.0</v>
      </c>
      <c r="B5" s="79">
        <v>44957.0</v>
      </c>
      <c r="C5" s="80" t="s">
        <v>162</v>
      </c>
      <c r="D5" s="81" t="s">
        <v>39</v>
      </c>
      <c r="E5" s="31" t="s">
        <v>60</v>
      </c>
      <c r="F5" s="32">
        <v>1.0</v>
      </c>
      <c r="G5" s="33">
        <v>800.0</v>
      </c>
      <c r="H5" s="33">
        <v>1800.0</v>
      </c>
      <c r="I5" s="33">
        <f t="shared" si="3"/>
        <v>1000</v>
      </c>
      <c r="J5" s="38"/>
      <c r="K5" s="38"/>
      <c r="L5" s="38"/>
      <c r="M5" s="38"/>
    </row>
    <row r="6" ht="18.75" customHeight="1">
      <c r="A6" s="26">
        <v>3.0</v>
      </c>
      <c r="B6" s="79">
        <v>44960.0</v>
      </c>
      <c r="C6" s="80" t="s">
        <v>163</v>
      </c>
      <c r="D6" s="81" t="s">
        <v>164</v>
      </c>
      <c r="E6" s="31" t="s">
        <v>60</v>
      </c>
      <c r="F6" s="32">
        <v>1.0</v>
      </c>
      <c r="G6" s="33">
        <v>2300.0</v>
      </c>
      <c r="H6" s="33">
        <v>5000.0</v>
      </c>
      <c r="I6" s="33">
        <f t="shared" si="3"/>
        <v>2700</v>
      </c>
      <c r="J6" s="38"/>
      <c r="K6" s="38"/>
      <c r="L6" s="38"/>
      <c r="M6" s="38"/>
      <c r="N6" s="57"/>
    </row>
    <row r="7" ht="18.75" customHeight="1">
      <c r="A7" s="26">
        <v>4.0</v>
      </c>
      <c r="B7" s="79">
        <v>44965.0</v>
      </c>
      <c r="C7" s="80" t="s">
        <v>45</v>
      </c>
      <c r="D7" s="81" t="s">
        <v>165</v>
      </c>
      <c r="E7" s="31" t="s">
        <v>166</v>
      </c>
      <c r="F7" s="32">
        <v>1.0</v>
      </c>
      <c r="G7" s="33">
        <v>4950.0</v>
      </c>
      <c r="H7" s="33">
        <v>9900.0</v>
      </c>
      <c r="I7" s="33">
        <f t="shared" si="3"/>
        <v>4950</v>
      </c>
      <c r="J7" s="38"/>
      <c r="K7" s="38"/>
      <c r="L7" s="38"/>
      <c r="M7" s="38"/>
    </row>
    <row r="8" ht="18.75" customHeight="1">
      <c r="A8" s="26">
        <v>5.0</v>
      </c>
      <c r="B8" s="82"/>
      <c r="C8" s="80"/>
      <c r="D8" s="81"/>
      <c r="E8" s="31"/>
      <c r="F8" s="32"/>
      <c r="G8" s="33"/>
      <c r="H8" s="33"/>
      <c r="I8" s="33">
        <f t="shared" si="3"/>
        <v>0</v>
      </c>
      <c r="J8" s="38"/>
      <c r="K8" s="38"/>
      <c r="L8" s="38"/>
      <c r="M8" s="38"/>
    </row>
    <row r="9" ht="18.75" customHeight="1">
      <c r="A9" s="26">
        <v>6.0</v>
      </c>
      <c r="B9" s="79"/>
      <c r="C9" s="80"/>
      <c r="D9" s="81"/>
      <c r="E9" s="31"/>
      <c r="F9" s="32"/>
      <c r="G9" s="33"/>
      <c r="H9" s="33"/>
      <c r="I9" s="33">
        <f t="shared" si="3"/>
        <v>0</v>
      </c>
      <c r="J9" s="38"/>
      <c r="K9" s="38"/>
      <c r="L9" s="38"/>
      <c r="M9" s="38"/>
    </row>
    <row r="10" ht="18.75" customHeight="1">
      <c r="A10" s="26">
        <v>7.0</v>
      </c>
      <c r="B10" s="79"/>
      <c r="C10" s="80"/>
      <c r="D10" s="81"/>
      <c r="E10" s="31"/>
      <c r="F10" s="32"/>
      <c r="G10" s="33"/>
      <c r="H10" s="33"/>
      <c r="I10" s="33">
        <f t="shared" si="3"/>
        <v>0</v>
      </c>
      <c r="J10" s="38"/>
      <c r="K10" s="38"/>
      <c r="L10" s="38"/>
      <c r="M10" s="38"/>
      <c r="N10" s="83"/>
    </row>
    <row r="11" ht="18.75" customHeight="1">
      <c r="A11" s="26">
        <v>8.0</v>
      </c>
      <c r="B11" s="79"/>
      <c r="C11" s="80"/>
      <c r="D11" s="81"/>
      <c r="E11" s="31"/>
      <c r="F11" s="32"/>
      <c r="G11" s="33"/>
      <c r="H11" s="33"/>
      <c r="I11" s="33">
        <f t="shared" si="3"/>
        <v>0</v>
      </c>
      <c r="J11" s="38"/>
      <c r="K11" s="38"/>
      <c r="L11" s="38"/>
      <c r="M11" s="38"/>
    </row>
    <row r="12" ht="18.75" customHeight="1">
      <c r="A12" s="26">
        <v>9.0</v>
      </c>
      <c r="B12" s="79"/>
      <c r="C12" s="80"/>
      <c r="D12" s="81"/>
      <c r="E12" s="31"/>
      <c r="F12" s="32"/>
      <c r="G12" s="33"/>
      <c r="H12" s="33"/>
      <c r="I12" s="33">
        <f t="shared" si="3"/>
        <v>0</v>
      </c>
      <c r="J12" s="38"/>
      <c r="K12" s="38"/>
      <c r="L12" s="38"/>
      <c r="M12" s="38"/>
    </row>
    <row r="13" ht="18.75" customHeight="1">
      <c r="A13" s="26">
        <v>10.0</v>
      </c>
      <c r="B13" s="79"/>
      <c r="C13" s="80"/>
      <c r="D13" s="81"/>
      <c r="E13" s="31"/>
      <c r="F13" s="32"/>
      <c r="G13" s="33"/>
      <c r="H13" s="33"/>
      <c r="I13" s="33">
        <f t="shared" si="3"/>
        <v>0</v>
      </c>
      <c r="J13" s="38"/>
      <c r="K13" s="38"/>
      <c r="L13" s="38"/>
      <c r="M13" s="38"/>
      <c r="N13" s="83"/>
    </row>
    <row r="14" ht="18.75" customHeight="1">
      <c r="A14" s="26">
        <v>11.0</v>
      </c>
      <c r="B14" s="79"/>
      <c r="C14" s="80"/>
      <c r="D14" s="81"/>
      <c r="E14" s="31"/>
      <c r="F14" s="32"/>
      <c r="G14" s="33"/>
      <c r="H14" s="33"/>
      <c r="I14" s="33">
        <f t="shared" si="3"/>
        <v>0</v>
      </c>
      <c r="J14" s="38"/>
      <c r="K14" s="38"/>
      <c r="L14" s="38"/>
      <c r="M14" s="38"/>
    </row>
    <row r="15" ht="18.75" customHeight="1">
      <c r="A15" s="26">
        <v>12.0</v>
      </c>
      <c r="B15" s="79"/>
      <c r="C15" s="80"/>
      <c r="D15" s="84"/>
      <c r="E15" s="69"/>
      <c r="F15" s="32"/>
      <c r="G15" s="33"/>
      <c r="H15" s="33"/>
      <c r="I15" s="33">
        <f t="shared" si="3"/>
        <v>0</v>
      </c>
      <c r="J15" s="38"/>
      <c r="K15" s="38"/>
      <c r="L15" s="38"/>
      <c r="M15" s="38"/>
    </row>
    <row r="16" ht="18.75" customHeight="1">
      <c r="A16" s="26">
        <v>13.0</v>
      </c>
      <c r="B16" s="30"/>
      <c r="C16" s="85"/>
      <c r="D16" s="69"/>
      <c r="E16" s="69"/>
      <c r="F16" s="32"/>
      <c r="G16" s="70"/>
      <c r="H16" s="33"/>
      <c r="I16" s="33">
        <f t="shared" si="3"/>
        <v>0</v>
      </c>
      <c r="J16" s="38"/>
      <c r="K16" s="38"/>
      <c r="L16" s="38"/>
      <c r="M16" s="38"/>
      <c r="N16" s="83"/>
    </row>
    <row r="17" ht="18.75" customHeight="1">
      <c r="A17" s="26">
        <v>14.0</v>
      </c>
      <c r="B17" s="30"/>
      <c r="C17" s="86"/>
      <c r="D17" s="31"/>
      <c r="E17" s="31"/>
      <c r="F17" s="32"/>
      <c r="G17" s="33"/>
      <c r="H17" s="33"/>
      <c r="I17" s="33">
        <f t="shared" si="3"/>
        <v>0</v>
      </c>
      <c r="J17" s="38"/>
      <c r="K17" s="38"/>
      <c r="L17" s="38"/>
      <c r="M17" s="38"/>
      <c r="N17" s="83"/>
    </row>
    <row r="18" ht="18.75" customHeight="1">
      <c r="A18" s="26">
        <v>15.0</v>
      </c>
      <c r="B18" s="64"/>
      <c r="C18" s="86"/>
      <c r="D18" s="67"/>
      <c r="E18" s="67"/>
      <c r="F18" s="32"/>
      <c r="G18" s="33"/>
      <c r="H18" s="33"/>
      <c r="I18" s="33">
        <f t="shared" si="3"/>
        <v>0</v>
      </c>
      <c r="J18" s="38"/>
      <c r="K18" s="38"/>
      <c r="L18" s="38"/>
      <c r="M18" s="38"/>
      <c r="N18" s="83"/>
    </row>
    <row r="19" ht="18.75" customHeight="1">
      <c r="A19" s="26">
        <v>16.0</v>
      </c>
      <c r="B19" s="38"/>
      <c r="C19" s="86"/>
      <c r="D19" s="38"/>
      <c r="E19" s="38"/>
      <c r="F19" s="32"/>
      <c r="G19" s="70"/>
      <c r="H19" s="33"/>
      <c r="I19" s="33">
        <f t="shared" si="3"/>
        <v>0</v>
      </c>
      <c r="J19" s="38"/>
      <c r="K19" s="38"/>
      <c r="L19" s="38"/>
      <c r="M19" s="38"/>
    </row>
    <row r="20" ht="18.75" customHeight="1">
      <c r="A20" s="26">
        <v>17.0</v>
      </c>
      <c r="B20" s="47"/>
      <c r="C20" s="86"/>
      <c r="D20" s="47"/>
      <c r="E20" s="47"/>
      <c r="F20" s="32"/>
      <c r="G20" s="70"/>
      <c r="H20" s="33"/>
      <c r="I20" s="33">
        <f t="shared" si="3"/>
        <v>0</v>
      </c>
      <c r="J20" s="38"/>
      <c r="K20" s="38"/>
      <c r="L20" s="38"/>
      <c r="M20" s="38"/>
    </row>
    <row r="21" ht="18.75" customHeight="1">
      <c r="A21" s="26">
        <v>18.0</v>
      </c>
      <c r="B21" s="30"/>
      <c r="C21" s="86"/>
      <c r="D21" s="31"/>
      <c r="E21" s="31"/>
      <c r="F21" s="32"/>
      <c r="G21" s="33"/>
      <c r="H21" s="33"/>
      <c r="I21" s="33">
        <f t="shared" si="3"/>
        <v>0</v>
      </c>
      <c r="J21" s="38"/>
      <c r="K21" s="38"/>
      <c r="L21" s="38"/>
      <c r="M21" s="38"/>
    </row>
    <row r="22" ht="18.75" customHeight="1">
      <c r="A22" s="26">
        <v>19.0</v>
      </c>
      <c r="B22" s="30"/>
      <c r="C22" s="86"/>
      <c r="D22" s="31"/>
      <c r="E22" s="31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26">
        <v>20.0</v>
      </c>
      <c r="B23" s="30"/>
      <c r="C23" s="86"/>
      <c r="D23" s="31"/>
      <c r="E23" s="31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26">
        <v>21.0</v>
      </c>
      <c r="B24" s="30"/>
      <c r="C24" s="86"/>
      <c r="D24" s="31"/>
      <c r="E24" s="31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26">
        <v>22.0</v>
      </c>
      <c r="B25" s="30"/>
      <c r="C25" s="86"/>
      <c r="D25" s="31"/>
      <c r="E25" s="31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26">
        <v>23.0</v>
      </c>
      <c r="B26" s="30"/>
      <c r="C26" s="86"/>
      <c r="D26" s="31"/>
      <c r="E26" s="31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26">
        <v>24.0</v>
      </c>
      <c r="B27" s="30"/>
      <c r="C27" s="86"/>
      <c r="D27" s="31"/>
      <c r="E27" s="31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26">
        <v>25.0</v>
      </c>
      <c r="B28" s="30"/>
      <c r="C28" s="86"/>
      <c r="D28" s="31"/>
      <c r="E28" s="31"/>
      <c r="F28" s="32"/>
      <c r="G28" s="33"/>
      <c r="H28" s="33"/>
      <c r="I28" s="33">
        <f t="shared" si="3"/>
        <v>0</v>
      </c>
      <c r="J28" s="38"/>
      <c r="K28" s="38"/>
      <c r="L28" s="38"/>
      <c r="M28" s="38"/>
    </row>
    <row r="29" ht="18.75" customHeight="1">
      <c r="A29" s="26">
        <v>26.0</v>
      </c>
      <c r="B29" s="30"/>
      <c r="C29" s="86"/>
      <c r="D29" s="31"/>
      <c r="E29" s="31"/>
      <c r="F29" s="32"/>
      <c r="G29" s="33"/>
      <c r="H29" s="33"/>
      <c r="I29" s="33">
        <f t="shared" si="3"/>
        <v>0</v>
      </c>
      <c r="J29" s="47"/>
      <c r="K29" s="47"/>
      <c r="L29" s="47"/>
      <c r="M29" s="47"/>
    </row>
    <row r="30" ht="18.75" customHeight="1">
      <c r="A30" s="72"/>
      <c r="B30" s="73"/>
      <c r="C30" s="87"/>
      <c r="D30" s="74"/>
      <c r="E30" s="74"/>
      <c r="F30" s="77">
        <f>SUM(F4:F29)</f>
        <v>6</v>
      </c>
      <c r="G30" s="76"/>
      <c r="H30" s="76"/>
      <c r="I30" s="72"/>
      <c r="J30" s="24"/>
      <c r="K30" s="24"/>
      <c r="L30" s="24"/>
      <c r="M30" s="24"/>
    </row>
    <row r="31" ht="18.75" customHeight="1">
      <c r="A31" s="72"/>
      <c r="B31" s="73"/>
      <c r="C31" s="87"/>
      <c r="D31" s="74"/>
      <c r="E31" s="74"/>
      <c r="F31" s="72"/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 t="s">
        <v>123</v>
      </c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/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M2"/>
    <mergeCell ref="J4:J29"/>
    <mergeCell ref="K4:K29"/>
    <mergeCell ref="L4:L29"/>
    <mergeCell ref="M4:M29"/>
    <mergeCell ref="B18:B20"/>
    <mergeCell ref="D18:D20"/>
    <mergeCell ref="E18:E20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1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10.86"/>
    <col customWidth="1" min="15" max="26" width="9.14"/>
  </cols>
  <sheetData>
    <row r="1" ht="24.0" customHeight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78" t="s">
        <v>4</v>
      </c>
      <c r="D3" s="16" t="s">
        <v>5</v>
      </c>
      <c r="E3" s="16" t="s">
        <v>6</v>
      </c>
      <c r="F3" s="13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v>1.0</v>
      </c>
      <c r="B4" s="79">
        <v>44971.0</v>
      </c>
      <c r="C4" s="80" t="s">
        <v>167</v>
      </c>
      <c r="D4" s="81" t="s">
        <v>33</v>
      </c>
      <c r="E4" s="31" t="s">
        <v>168</v>
      </c>
      <c r="F4" s="32">
        <v>1.0</v>
      </c>
      <c r="G4" s="33">
        <v>800.0</v>
      </c>
      <c r="H4" s="33">
        <v>1800.0</v>
      </c>
      <c r="I4" s="33">
        <f t="shared" ref="I4:I29" si="3">H4-G4</f>
        <v>1000</v>
      </c>
      <c r="J4" s="19">
        <f t="shared" ref="J4:K4" si="1">SUM(H4:H41)</f>
        <v>51900</v>
      </c>
      <c r="K4" s="37">
        <f t="shared" si="1"/>
        <v>26900</v>
      </c>
      <c r="L4" s="39">
        <f t="shared" ref="L4:M4" si="2">J4/2</f>
        <v>25950</v>
      </c>
      <c r="M4" s="41">
        <f t="shared" si="2"/>
        <v>13450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v>2.0</v>
      </c>
      <c r="B5" s="79">
        <v>44973.0</v>
      </c>
      <c r="C5" s="80" t="s">
        <v>163</v>
      </c>
      <c r="D5" s="81" t="s">
        <v>165</v>
      </c>
      <c r="E5" s="31" t="s">
        <v>102</v>
      </c>
      <c r="F5" s="32">
        <v>1.0</v>
      </c>
      <c r="G5" s="33">
        <v>2500.0</v>
      </c>
      <c r="H5" s="33">
        <v>5000.0</v>
      </c>
      <c r="I5" s="33">
        <f t="shared" si="3"/>
        <v>2500</v>
      </c>
      <c r="J5" s="38"/>
      <c r="K5" s="38"/>
      <c r="L5" s="38"/>
      <c r="M5" s="38"/>
    </row>
    <row r="6" ht="18.75" customHeight="1">
      <c r="A6" s="26">
        <v>3.0</v>
      </c>
      <c r="B6" s="79">
        <v>44980.0</v>
      </c>
      <c r="C6" s="80" t="s">
        <v>90</v>
      </c>
      <c r="D6" s="81" t="s">
        <v>71</v>
      </c>
      <c r="E6" s="31" t="s">
        <v>28</v>
      </c>
      <c r="F6" s="32">
        <v>1.0</v>
      </c>
      <c r="G6" s="33">
        <v>2400.0</v>
      </c>
      <c r="H6" s="33">
        <v>4800.0</v>
      </c>
      <c r="I6" s="33">
        <f t="shared" si="3"/>
        <v>2400</v>
      </c>
      <c r="J6" s="38"/>
      <c r="K6" s="38"/>
      <c r="L6" s="38"/>
      <c r="M6" s="38"/>
      <c r="N6" s="57"/>
    </row>
    <row r="7" ht="18.75" customHeight="1">
      <c r="A7" s="26">
        <v>4.0</v>
      </c>
      <c r="B7" s="64">
        <v>44984.0</v>
      </c>
      <c r="C7" s="80" t="s">
        <v>169</v>
      </c>
      <c r="D7" s="67" t="s">
        <v>170</v>
      </c>
      <c r="E7" s="67" t="s">
        <v>171</v>
      </c>
      <c r="F7" s="32">
        <v>1.0</v>
      </c>
      <c r="G7" s="33">
        <v>5000.0</v>
      </c>
      <c r="H7" s="33">
        <v>12000.0</v>
      </c>
      <c r="I7" s="33">
        <f t="shared" si="3"/>
        <v>7000</v>
      </c>
      <c r="J7" s="38"/>
      <c r="K7" s="38"/>
      <c r="L7" s="38"/>
      <c r="M7" s="38"/>
    </row>
    <row r="8" ht="18.75" customHeight="1">
      <c r="A8" s="26">
        <v>5.0</v>
      </c>
      <c r="B8" s="47"/>
      <c r="C8" s="80" t="s">
        <v>172</v>
      </c>
      <c r="D8" s="47"/>
      <c r="E8" s="47"/>
      <c r="F8" s="32">
        <v>1.0</v>
      </c>
      <c r="G8" s="33">
        <v>1800.0</v>
      </c>
      <c r="H8" s="33">
        <v>4000.0</v>
      </c>
      <c r="I8" s="33">
        <f t="shared" si="3"/>
        <v>2200</v>
      </c>
      <c r="J8" s="38"/>
      <c r="K8" s="38"/>
      <c r="L8" s="38"/>
      <c r="M8" s="38"/>
    </row>
    <row r="9" ht="18.75" customHeight="1">
      <c r="A9" s="26">
        <v>6.0</v>
      </c>
      <c r="B9" s="79">
        <v>44988.0</v>
      </c>
      <c r="C9" s="80" t="s">
        <v>90</v>
      </c>
      <c r="D9" s="81" t="s">
        <v>173</v>
      </c>
      <c r="E9" s="31" t="s">
        <v>174</v>
      </c>
      <c r="F9" s="32">
        <v>1.0</v>
      </c>
      <c r="G9" s="33">
        <v>2400.0</v>
      </c>
      <c r="H9" s="33">
        <v>5400.0</v>
      </c>
      <c r="I9" s="33">
        <f t="shared" si="3"/>
        <v>3000</v>
      </c>
      <c r="J9" s="38"/>
      <c r="K9" s="38"/>
      <c r="L9" s="38"/>
      <c r="M9" s="38"/>
    </row>
    <row r="10" ht="18.75" customHeight="1">
      <c r="A10" s="26">
        <v>7.0</v>
      </c>
      <c r="B10" s="79">
        <v>44989.0</v>
      </c>
      <c r="C10" s="80" t="s">
        <v>172</v>
      </c>
      <c r="D10" s="81" t="s">
        <v>175</v>
      </c>
      <c r="E10" s="31" t="s">
        <v>92</v>
      </c>
      <c r="F10" s="32">
        <v>1.0</v>
      </c>
      <c r="G10" s="33">
        <v>1800.0</v>
      </c>
      <c r="H10" s="33">
        <v>3600.0</v>
      </c>
      <c r="I10" s="33">
        <f t="shared" si="3"/>
        <v>1800</v>
      </c>
      <c r="J10" s="38"/>
      <c r="K10" s="38"/>
      <c r="L10" s="38"/>
      <c r="M10" s="38"/>
      <c r="N10" s="83"/>
    </row>
    <row r="11" ht="18.75" customHeight="1">
      <c r="A11" s="26">
        <v>8.0</v>
      </c>
      <c r="B11" s="79">
        <v>45141.0</v>
      </c>
      <c r="C11" s="80" t="s">
        <v>176</v>
      </c>
      <c r="D11" s="81" t="s">
        <v>116</v>
      </c>
      <c r="E11" s="31" t="s">
        <v>177</v>
      </c>
      <c r="F11" s="32">
        <v>1.0</v>
      </c>
      <c r="G11" s="33">
        <v>8300.0</v>
      </c>
      <c r="H11" s="33">
        <v>15300.0</v>
      </c>
      <c r="I11" s="33">
        <f t="shared" si="3"/>
        <v>7000</v>
      </c>
      <c r="J11" s="38"/>
      <c r="K11" s="38"/>
      <c r="L11" s="38"/>
      <c r="M11" s="38"/>
    </row>
    <row r="12" ht="18.75" customHeight="1">
      <c r="A12" s="26">
        <v>9.0</v>
      </c>
      <c r="B12" s="79"/>
      <c r="C12" s="80"/>
      <c r="D12" s="81"/>
      <c r="E12" s="31"/>
      <c r="F12" s="32"/>
      <c r="G12" s="33"/>
      <c r="H12" s="33"/>
      <c r="I12" s="33">
        <f t="shared" si="3"/>
        <v>0</v>
      </c>
      <c r="J12" s="38"/>
      <c r="K12" s="38"/>
      <c r="L12" s="38"/>
      <c r="M12" s="38"/>
    </row>
    <row r="13" ht="18.75" customHeight="1">
      <c r="A13" s="26">
        <v>10.0</v>
      </c>
      <c r="B13" s="79"/>
      <c r="C13" s="80"/>
      <c r="D13" s="81"/>
      <c r="E13" s="31"/>
      <c r="F13" s="32"/>
      <c r="G13" s="33"/>
      <c r="H13" s="33"/>
      <c r="I13" s="33">
        <f t="shared" si="3"/>
        <v>0</v>
      </c>
      <c r="J13" s="38"/>
      <c r="K13" s="38"/>
      <c r="L13" s="38"/>
      <c r="M13" s="38"/>
      <c r="N13" s="83"/>
    </row>
    <row r="14" ht="18.75" customHeight="1">
      <c r="A14" s="26">
        <v>11.0</v>
      </c>
      <c r="B14" s="79"/>
      <c r="C14" s="80"/>
      <c r="D14" s="81"/>
      <c r="E14" s="31"/>
      <c r="F14" s="32"/>
      <c r="G14" s="33"/>
      <c r="H14" s="33"/>
      <c r="I14" s="33">
        <f t="shared" si="3"/>
        <v>0</v>
      </c>
      <c r="J14" s="38"/>
      <c r="K14" s="38"/>
      <c r="L14" s="38"/>
      <c r="M14" s="38"/>
    </row>
    <row r="15" ht="18.75" customHeight="1">
      <c r="A15" s="26">
        <v>12.0</v>
      </c>
      <c r="B15" s="79"/>
      <c r="C15" s="80"/>
      <c r="D15" s="84"/>
      <c r="E15" s="69"/>
      <c r="F15" s="32"/>
      <c r="G15" s="33"/>
      <c r="H15" s="33"/>
      <c r="I15" s="33">
        <f t="shared" si="3"/>
        <v>0</v>
      </c>
      <c r="J15" s="38"/>
      <c r="K15" s="38"/>
      <c r="L15" s="38"/>
      <c r="M15" s="38"/>
    </row>
    <row r="16" ht="18.75" customHeight="1">
      <c r="A16" s="26">
        <v>13.0</v>
      </c>
      <c r="B16" s="30"/>
      <c r="C16" s="85"/>
      <c r="D16" s="69"/>
      <c r="E16" s="69"/>
      <c r="F16" s="32"/>
      <c r="G16" s="70"/>
      <c r="H16" s="33"/>
      <c r="I16" s="33">
        <f t="shared" si="3"/>
        <v>0</v>
      </c>
      <c r="J16" s="38"/>
      <c r="K16" s="38"/>
      <c r="L16" s="38"/>
      <c r="M16" s="38"/>
      <c r="N16" s="83"/>
    </row>
    <row r="17" ht="18.75" customHeight="1">
      <c r="A17" s="26">
        <v>14.0</v>
      </c>
      <c r="B17" s="30"/>
      <c r="C17" s="86"/>
      <c r="D17" s="31"/>
      <c r="E17" s="31"/>
      <c r="F17" s="32"/>
      <c r="G17" s="33"/>
      <c r="H17" s="33"/>
      <c r="I17" s="33">
        <f t="shared" si="3"/>
        <v>0</v>
      </c>
      <c r="J17" s="38"/>
      <c r="K17" s="38"/>
      <c r="L17" s="38"/>
      <c r="M17" s="38"/>
      <c r="N17" s="83"/>
    </row>
    <row r="18" ht="18.75" customHeight="1">
      <c r="A18" s="26">
        <v>15.0</v>
      </c>
      <c r="B18" s="64"/>
      <c r="C18" s="86"/>
      <c r="D18" s="67"/>
      <c r="E18" s="67"/>
      <c r="F18" s="32"/>
      <c r="G18" s="33"/>
      <c r="H18" s="33"/>
      <c r="I18" s="33">
        <f t="shared" si="3"/>
        <v>0</v>
      </c>
      <c r="J18" s="38"/>
      <c r="K18" s="38"/>
      <c r="L18" s="38"/>
      <c r="M18" s="38"/>
      <c r="N18" s="83"/>
    </row>
    <row r="19" ht="18.75" customHeight="1">
      <c r="A19" s="26">
        <v>16.0</v>
      </c>
      <c r="B19" s="38"/>
      <c r="C19" s="86"/>
      <c r="D19" s="38"/>
      <c r="E19" s="38"/>
      <c r="F19" s="32"/>
      <c r="G19" s="70"/>
      <c r="H19" s="33"/>
      <c r="I19" s="33">
        <f t="shared" si="3"/>
        <v>0</v>
      </c>
      <c r="J19" s="38"/>
      <c r="K19" s="38"/>
      <c r="L19" s="38"/>
      <c r="M19" s="38"/>
    </row>
    <row r="20" ht="18.75" customHeight="1">
      <c r="A20" s="26">
        <v>17.0</v>
      </c>
      <c r="B20" s="47"/>
      <c r="C20" s="86"/>
      <c r="D20" s="47"/>
      <c r="E20" s="47"/>
      <c r="F20" s="32"/>
      <c r="G20" s="70"/>
      <c r="H20" s="33"/>
      <c r="I20" s="33">
        <f t="shared" si="3"/>
        <v>0</v>
      </c>
      <c r="J20" s="38"/>
      <c r="K20" s="38"/>
      <c r="L20" s="38"/>
      <c r="M20" s="38"/>
    </row>
    <row r="21" ht="18.75" customHeight="1">
      <c r="A21" s="26">
        <v>18.0</v>
      </c>
      <c r="B21" s="30"/>
      <c r="C21" s="86"/>
      <c r="D21" s="31"/>
      <c r="E21" s="31"/>
      <c r="F21" s="32"/>
      <c r="G21" s="33"/>
      <c r="H21" s="33"/>
      <c r="I21" s="33">
        <f t="shared" si="3"/>
        <v>0</v>
      </c>
      <c r="J21" s="38"/>
      <c r="K21" s="38"/>
      <c r="L21" s="38"/>
      <c r="M21" s="38"/>
    </row>
    <row r="22" ht="18.75" customHeight="1">
      <c r="A22" s="26">
        <v>19.0</v>
      </c>
      <c r="B22" s="30"/>
      <c r="C22" s="86"/>
      <c r="D22" s="31"/>
      <c r="E22" s="31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26">
        <v>20.0</v>
      </c>
      <c r="B23" s="30"/>
      <c r="C23" s="86"/>
      <c r="D23" s="31"/>
      <c r="E23" s="31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26">
        <v>21.0</v>
      </c>
      <c r="B24" s="30"/>
      <c r="C24" s="86"/>
      <c r="D24" s="31"/>
      <c r="E24" s="31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26">
        <v>22.0</v>
      </c>
      <c r="B25" s="30"/>
      <c r="C25" s="86"/>
      <c r="D25" s="31"/>
      <c r="E25" s="31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26">
        <v>23.0</v>
      </c>
      <c r="B26" s="30"/>
      <c r="C26" s="86"/>
      <c r="D26" s="31"/>
      <c r="E26" s="31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26">
        <v>24.0</v>
      </c>
      <c r="B27" s="30"/>
      <c r="C27" s="86"/>
      <c r="D27" s="31"/>
      <c r="E27" s="31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26">
        <v>25.0</v>
      </c>
      <c r="B28" s="30"/>
      <c r="C28" s="86"/>
      <c r="D28" s="31"/>
      <c r="E28" s="31"/>
      <c r="F28" s="32"/>
      <c r="G28" s="33"/>
      <c r="H28" s="33"/>
      <c r="I28" s="33">
        <f t="shared" si="3"/>
        <v>0</v>
      </c>
      <c r="J28" s="38"/>
      <c r="K28" s="38"/>
      <c r="L28" s="38"/>
      <c r="M28" s="38"/>
    </row>
    <row r="29" ht="18.75" customHeight="1">
      <c r="A29" s="26">
        <v>26.0</v>
      </c>
      <c r="B29" s="30"/>
      <c r="C29" s="86"/>
      <c r="D29" s="31"/>
      <c r="E29" s="31"/>
      <c r="F29" s="32"/>
      <c r="G29" s="33"/>
      <c r="H29" s="33"/>
      <c r="I29" s="33">
        <f t="shared" si="3"/>
        <v>0</v>
      </c>
      <c r="J29" s="47"/>
      <c r="K29" s="47"/>
      <c r="L29" s="47"/>
      <c r="M29" s="47"/>
    </row>
    <row r="30" ht="18.75" customHeight="1">
      <c r="A30" s="72"/>
      <c r="B30" s="73"/>
      <c r="C30" s="87"/>
      <c r="D30" s="74"/>
      <c r="E30" s="74"/>
      <c r="F30" s="77">
        <f>SUM(F4:F29)</f>
        <v>8</v>
      </c>
      <c r="G30" s="76"/>
      <c r="H30" s="76"/>
      <c r="I30" s="72"/>
      <c r="J30" s="24"/>
      <c r="K30" s="24"/>
      <c r="L30" s="24"/>
      <c r="M30" s="24"/>
    </row>
    <row r="31" ht="18.75" customHeight="1">
      <c r="A31" s="72"/>
      <c r="B31" s="73"/>
      <c r="C31" s="87"/>
      <c r="D31" s="74"/>
      <c r="E31" s="74"/>
      <c r="F31" s="72"/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 t="s">
        <v>123</v>
      </c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/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7:B8"/>
    <mergeCell ref="B18:B20"/>
    <mergeCell ref="D18:D20"/>
    <mergeCell ref="E18:E20"/>
    <mergeCell ref="A1:M2"/>
    <mergeCell ref="J4:J29"/>
    <mergeCell ref="K4:K29"/>
    <mergeCell ref="L4:L29"/>
    <mergeCell ref="M4:M29"/>
    <mergeCell ref="D7:D8"/>
    <mergeCell ref="E7:E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78" t="s">
        <v>4</v>
      </c>
      <c r="D3" s="16" t="s">
        <v>5</v>
      </c>
      <c r="E3" s="16" t="s">
        <v>6</v>
      </c>
      <c r="F3" s="13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v>1.0</v>
      </c>
      <c r="B4" s="79">
        <v>44995.0</v>
      </c>
      <c r="C4" s="80" t="s">
        <v>75</v>
      </c>
      <c r="D4" s="81" t="s">
        <v>180</v>
      </c>
      <c r="E4" s="31" t="s">
        <v>31</v>
      </c>
      <c r="F4" s="32">
        <v>1.0</v>
      </c>
      <c r="G4" s="33">
        <v>1850.0</v>
      </c>
      <c r="H4" s="33">
        <v>4000.0</v>
      </c>
      <c r="I4" s="33">
        <f t="shared" ref="I4:I30" si="3">H4-G4</f>
        <v>2150</v>
      </c>
      <c r="J4" s="19">
        <f t="shared" ref="J4:K4" si="1">SUM(H4:H42)</f>
        <v>91900</v>
      </c>
      <c r="K4" s="37">
        <f t="shared" si="1"/>
        <v>47900</v>
      </c>
      <c r="L4" s="39">
        <f t="shared" ref="L4:M4" si="2">J4/2</f>
        <v>45950</v>
      </c>
      <c r="M4" s="41">
        <f t="shared" si="2"/>
        <v>23950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v>2.0</v>
      </c>
      <c r="B5" s="79">
        <v>44999.0</v>
      </c>
      <c r="C5" s="80" t="s">
        <v>137</v>
      </c>
      <c r="D5" s="81" t="s">
        <v>183</v>
      </c>
      <c r="E5" s="31" t="s">
        <v>61</v>
      </c>
      <c r="F5" s="32">
        <v>1.0</v>
      </c>
      <c r="G5" s="33">
        <v>3550.0</v>
      </c>
      <c r="H5" s="33">
        <v>7650.0</v>
      </c>
      <c r="I5" s="33">
        <f t="shared" si="3"/>
        <v>4100</v>
      </c>
      <c r="J5" s="38"/>
      <c r="K5" s="38"/>
      <c r="L5" s="38"/>
      <c r="M5" s="38"/>
    </row>
    <row r="6" ht="18.75" customHeight="1">
      <c r="A6" s="26">
        <v>3.0</v>
      </c>
      <c r="B6" s="79">
        <v>44999.0</v>
      </c>
      <c r="C6" s="80" t="s">
        <v>42</v>
      </c>
      <c r="D6" s="81" t="s">
        <v>71</v>
      </c>
      <c r="E6" s="31" t="s">
        <v>47</v>
      </c>
      <c r="F6" s="32">
        <v>1.0</v>
      </c>
      <c r="G6" s="33">
        <v>2500.0</v>
      </c>
      <c r="H6" s="33">
        <v>5000.0</v>
      </c>
      <c r="I6" s="33">
        <f t="shared" si="3"/>
        <v>2500</v>
      </c>
      <c r="J6" s="38"/>
      <c r="K6" s="38"/>
      <c r="L6" s="38"/>
      <c r="M6" s="38"/>
      <c r="N6" s="57"/>
    </row>
    <row r="7" ht="18.75" customHeight="1">
      <c r="A7" s="26">
        <v>4.0</v>
      </c>
      <c r="B7" s="64">
        <v>45006.0</v>
      </c>
      <c r="C7" s="80" t="s">
        <v>184</v>
      </c>
      <c r="D7" s="65" t="s">
        <v>33</v>
      </c>
      <c r="E7" s="65" t="s">
        <v>185</v>
      </c>
      <c r="F7" s="32">
        <v>1.0</v>
      </c>
      <c r="G7" s="33">
        <v>1200.0</v>
      </c>
      <c r="H7" s="33">
        <v>3000.0</v>
      </c>
      <c r="I7" s="33">
        <f t="shared" si="3"/>
        <v>1800</v>
      </c>
      <c r="J7" s="38"/>
      <c r="K7" s="38"/>
      <c r="L7" s="38"/>
      <c r="M7" s="38"/>
    </row>
    <row r="8" ht="18.75" customHeight="1">
      <c r="A8" s="26">
        <v>5.0</v>
      </c>
      <c r="B8" s="88">
        <v>45006.0</v>
      </c>
      <c r="C8" s="80" t="s">
        <v>82</v>
      </c>
      <c r="D8" s="89" t="s">
        <v>186</v>
      </c>
      <c r="E8" s="89" t="s">
        <v>187</v>
      </c>
      <c r="F8" s="32">
        <v>1.0</v>
      </c>
      <c r="G8" s="33">
        <v>2500.0</v>
      </c>
      <c r="H8" s="33">
        <v>4500.0</v>
      </c>
      <c r="I8" s="33">
        <f t="shared" si="3"/>
        <v>2000</v>
      </c>
      <c r="J8" s="38"/>
      <c r="K8" s="38"/>
      <c r="L8" s="38"/>
      <c r="M8" s="38"/>
      <c r="N8" s="83" t="s">
        <v>188</v>
      </c>
    </row>
    <row r="9" ht="18.75" customHeight="1">
      <c r="A9" s="26">
        <v>6.0</v>
      </c>
      <c r="B9" s="79">
        <v>45013.0</v>
      </c>
      <c r="C9" s="80" t="s">
        <v>189</v>
      </c>
      <c r="D9" s="81" t="s">
        <v>190</v>
      </c>
      <c r="E9" s="31" t="s">
        <v>191</v>
      </c>
      <c r="F9" s="32">
        <v>1.0</v>
      </c>
      <c r="G9" s="33">
        <v>4950.0</v>
      </c>
      <c r="H9" s="33">
        <v>9500.0</v>
      </c>
      <c r="I9" s="33">
        <f t="shared" si="3"/>
        <v>4550</v>
      </c>
      <c r="J9" s="38"/>
      <c r="K9" s="38"/>
      <c r="L9" s="38"/>
      <c r="M9" s="38"/>
    </row>
    <row r="10" ht="18.75" customHeight="1">
      <c r="A10" s="26">
        <v>7.0</v>
      </c>
      <c r="B10" s="79">
        <v>45013.0</v>
      </c>
      <c r="C10" s="80" t="s">
        <v>192</v>
      </c>
      <c r="D10" s="81" t="s">
        <v>193</v>
      </c>
      <c r="E10" s="31" t="s">
        <v>194</v>
      </c>
      <c r="F10" s="32">
        <v>1.0</v>
      </c>
      <c r="G10" s="33">
        <v>2400.0</v>
      </c>
      <c r="H10" s="33">
        <v>6750.0</v>
      </c>
      <c r="I10" s="33">
        <f t="shared" si="3"/>
        <v>4350</v>
      </c>
      <c r="J10" s="38"/>
      <c r="K10" s="38"/>
      <c r="L10" s="38"/>
      <c r="M10" s="38"/>
      <c r="N10" s="83"/>
    </row>
    <row r="11" ht="18.75" customHeight="1">
      <c r="A11" s="26">
        <v>6.0</v>
      </c>
      <c r="B11" s="64">
        <v>45014.0</v>
      </c>
      <c r="C11" s="80" t="s">
        <v>195</v>
      </c>
      <c r="D11" s="67" t="s">
        <v>196</v>
      </c>
      <c r="E11" s="67" t="s">
        <v>168</v>
      </c>
      <c r="F11" s="32">
        <v>1.0</v>
      </c>
      <c r="G11" s="33">
        <v>800.0</v>
      </c>
      <c r="H11" s="33">
        <v>1800.0</v>
      </c>
      <c r="I11" s="33">
        <f t="shared" si="3"/>
        <v>1000</v>
      </c>
      <c r="J11" s="38"/>
      <c r="K11" s="38"/>
      <c r="L11" s="38"/>
      <c r="M11" s="38"/>
      <c r="N11" s="83"/>
    </row>
    <row r="12" ht="18.75" customHeight="1">
      <c r="A12" s="26">
        <v>8.0</v>
      </c>
      <c r="B12" s="47"/>
      <c r="C12" s="80" t="s">
        <v>197</v>
      </c>
      <c r="D12" s="47"/>
      <c r="E12" s="47"/>
      <c r="F12" s="32">
        <v>1.0</v>
      </c>
      <c r="G12" s="33">
        <v>7900.0</v>
      </c>
      <c r="H12" s="33">
        <v>14400.0</v>
      </c>
      <c r="I12" s="33">
        <f t="shared" si="3"/>
        <v>6500</v>
      </c>
      <c r="J12" s="38"/>
      <c r="K12" s="38"/>
      <c r="L12" s="38"/>
      <c r="M12" s="38"/>
    </row>
    <row r="13" ht="18.75" customHeight="1">
      <c r="A13" s="26">
        <v>9.0</v>
      </c>
      <c r="B13" s="64">
        <v>45014.0</v>
      </c>
      <c r="C13" s="80" t="s">
        <v>200</v>
      </c>
      <c r="D13" s="67" t="s">
        <v>46</v>
      </c>
      <c r="E13" s="67" t="s">
        <v>201</v>
      </c>
      <c r="F13" s="32">
        <v>1.0</v>
      </c>
      <c r="G13" s="33">
        <v>6600.0</v>
      </c>
      <c r="H13" s="33">
        <v>15300.0</v>
      </c>
      <c r="I13" s="33">
        <f t="shared" si="3"/>
        <v>8700</v>
      </c>
      <c r="J13" s="38"/>
      <c r="K13" s="38"/>
      <c r="L13" s="38"/>
      <c r="M13" s="38"/>
    </row>
    <row r="14" ht="18.75" customHeight="1">
      <c r="A14" s="26">
        <v>10.0</v>
      </c>
      <c r="B14" s="47"/>
      <c r="C14" s="80" t="s">
        <v>195</v>
      </c>
      <c r="D14" s="47"/>
      <c r="E14" s="47"/>
      <c r="F14" s="32">
        <v>1.0</v>
      </c>
      <c r="G14" s="33">
        <v>800.0</v>
      </c>
      <c r="H14" s="33">
        <v>1800.0</v>
      </c>
      <c r="I14" s="33">
        <f t="shared" si="3"/>
        <v>1000</v>
      </c>
      <c r="J14" s="38"/>
      <c r="K14" s="38"/>
      <c r="L14" s="38"/>
      <c r="M14" s="38"/>
      <c r="N14" s="83"/>
    </row>
    <row r="15" ht="18.75" customHeight="1">
      <c r="A15" s="26">
        <v>11.0</v>
      </c>
      <c r="B15" s="79">
        <v>45022.0</v>
      </c>
      <c r="C15" s="80" t="s">
        <v>202</v>
      </c>
      <c r="D15" s="67" t="s">
        <v>203</v>
      </c>
      <c r="E15" s="67" t="s">
        <v>28</v>
      </c>
      <c r="F15" s="32">
        <v>1.0</v>
      </c>
      <c r="G15" s="33">
        <v>4000.0</v>
      </c>
      <c r="H15" s="33">
        <f>11000-2200</f>
        <v>8800</v>
      </c>
      <c r="I15" s="33">
        <f t="shared" si="3"/>
        <v>4800</v>
      </c>
      <c r="J15" s="38"/>
      <c r="K15" s="38"/>
      <c r="L15" s="38"/>
      <c r="M15" s="38"/>
    </row>
    <row r="16" ht="18.75" customHeight="1">
      <c r="A16" s="26">
        <v>12.0</v>
      </c>
      <c r="B16" s="79"/>
      <c r="C16" s="80" t="s">
        <v>82</v>
      </c>
      <c r="D16" s="47"/>
      <c r="E16" s="47"/>
      <c r="F16" s="32">
        <v>1.0</v>
      </c>
      <c r="G16" s="33">
        <v>2500.0</v>
      </c>
      <c r="H16" s="33">
        <v>4000.0</v>
      </c>
      <c r="I16" s="33">
        <f t="shared" si="3"/>
        <v>1500</v>
      </c>
      <c r="J16" s="38"/>
      <c r="K16" s="38"/>
      <c r="L16" s="38"/>
      <c r="M16" s="38"/>
    </row>
    <row r="17" ht="18.75" customHeight="1">
      <c r="A17" s="26">
        <v>13.0</v>
      </c>
      <c r="B17" s="30">
        <v>45023.0</v>
      </c>
      <c r="C17" s="85" t="s">
        <v>205</v>
      </c>
      <c r="D17" s="69" t="s">
        <v>206</v>
      </c>
      <c r="E17" s="69" t="s">
        <v>207</v>
      </c>
      <c r="F17" s="32">
        <v>1.0</v>
      </c>
      <c r="G17" s="70">
        <v>2450.0</v>
      </c>
      <c r="H17" s="33">
        <v>5400.0</v>
      </c>
      <c r="I17" s="33">
        <f t="shared" si="3"/>
        <v>2950</v>
      </c>
      <c r="J17" s="38"/>
      <c r="K17" s="38"/>
      <c r="L17" s="38"/>
      <c r="M17" s="38"/>
      <c r="N17" s="83"/>
    </row>
    <row r="18" ht="18.75" customHeight="1">
      <c r="A18" s="26">
        <v>14.0</v>
      </c>
      <c r="B18" s="30"/>
      <c r="C18" s="86"/>
      <c r="D18" s="31"/>
      <c r="E18" s="31"/>
      <c r="F18" s="32"/>
      <c r="G18" s="33"/>
      <c r="H18" s="33"/>
      <c r="I18" s="33">
        <f t="shared" si="3"/>
        <v>0</v>
      </c>
      <c r="J18" s="38"/>
      <c r="K18" s="38"/>
      <c r="L18" s="38"/>
      <c r="M18" s="38"/>
      <c r="N18" s="83"/>
    </row>
    <row r="19" ht="18.75" customHeight="1">
      <c r="A19" s="26">
        <v>15.0</v>
      </c>
      <c r="B19" s="64"/>
      <c r="C19" s="86"/>
      <c r="D19" s="67"/>
      <c r="E19" s="67"/>
      <c r="F19" s="32"/>
      <c r="G19" s="33"/>
      <c r="H19" s="33"/>
      <c r="I19" s="33">
        <f t="shared" si="3"/>
        <v>0</v>
      </c>
      <c r="J19" s="38"/>
      <c r="K19" s="38"/>
      <c r="L19" s="38"/>
      <c r="M19" s="38"/>
      <c r="N19" s="83"/>
    </row>
    <row r="20" ht="18.75" customHeight="1">
      <c r="A20" s="26">
        <v>16.0</v>
      </c>
      <c r="B20" s="38"/>
      <c r="C20" s="86"/>
      <c r="D20" s="38"/>
      <c r="E20" s="38"/>
      <c r="F20" s="32"/>
      <c r="G20" s="70"/>
      <c r="H20" s="33"/>
      <c r="I20" s="33">
        <f t="shared" si="3"/>
        <v>0</v>
      </c>
      <c r="J20" s="38"/>
      <c r="K20" s="38"/>
      <c r="L20" s="38"/>
      <c r="M20" s="38"/>
    </row>
    <row r="21" ht="18.75" customHeight="1">
      <c r="A21" s="26">
        <v>17.0</v>
      </c>
      <c r="B21" s="47"/>
      <c r="C21" s="86"/>
      <c r="D21" s="47"/>
      <c r="E21" s="47"/>
      <c r="F21" s="32"/>
      <c r="G21" s="70"/>
      <c r="H21" s="33"/>
      <c r="I21" s="33">
        <f t="shared" si="3"/>
        <v>0</v>
      </c>
      <c r="J21" s="38"/>
      <c r="K21" s="38"/>
      <c r="L21" s="38"/>
      <c r="M21" s="38"/>
    </row>
    <row r="22" ht="18.75" customHeight="1">
      <c r="A22" s="26">
        <v>18.0</v>
      </c>
      <c r="B22" s="30"/>
      <c r="C22" s="86"/>
      <c r="D22" s="31"/>
      <c r="E22" s="31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26">
        <v>19.0</v>
      </c>
      <c r="B23" s="30"/>
      <c r="C23" s="86"/>
      <c r="D23" s="31"/>
      <c r="E23" s="31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26">
        <v>20.0</v>
      </c>
      <c r="B24" s="30"/>
      <c r="C24" s="86"/>
      <c r="D24" s="31"/>
      <c r="E24" s="31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26">
        <v>21.0</v>
      </c>
      <c r="B25" s="30"/>
      <c r="C25" s="86"/>
      <c r="D25" s="31"/>
      <c r="E25" s="31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26">
        <v>22.0</v>
      </c>
      <c r="B26" s="30"/>
      <c r="C26" s="86"/>
      <c r="D26" s="31"/>
      <c r="E26" s="31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26">
        <v>23.0</v>
      </c>
      <c r="B27" s="30"/>
      <c r="C27" s="86"/>
      <c r="D27" s="31"/>
      <c r="E27" s="31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26">
        <v>24.0</v>
      </c>
      <c r="B28" s="30"/>
      <c r="C28" s="86"/>
      <c r="D28" s="31"/>
      <c r="E28" s="31"/>
      <c r="F28" s="32"/>
      <c r="G28" s="33"/>
      <c r="H28" s="33"/>
      <c r="I28" s="33">
        <f t="shared" si="3"/>
        <v>0</v>
      </c>
      <c r="J28" s="38"/>
      <c r="K28" s="38"/>
      <c r="L28" s="38"/>
      <c r="M28" s="38"/>
    </row>
    <row r="29" ht="18.75" customHeight="1">
      <c r="A29" s="26">
        <v>25.0</v>
      </c>
      <c r="B29" s="30"/>
      <c r="C29" s="86"/>
      <c r="D29" s="31"/>
      <c r="E29" s="31"/>
      <c r="F29" s="32"/>
      <c r="G29" s="33"/>
      <c r="H29" s="33"/>
      <c r="I29" s="33">
        <f t="shared" si="3"/>
        <v>0</v>
      </c>
      <c r="J29" s="38"/>
      <c r="K29" s="38"/>
      <c r="L29" s="38"/>
      <c r="M29" s="38"/>
    </row>
    <row r="30" ht="18.75" customHeight="1">
      <c r="A30" s="26">
        <v>26.0</v>
      </c>
      <c r="B30" s="30"/>
      <c r="C30" s="86"/>
      <c r="D30" s="31"/>
      <c r="E30" s="31"/>
      <c r="F30" s="32"/>
      <c r="G30" s="33"/>
      <c r="H30" s="33"/>
      <c r="I30" s="33">
        <f t="shared" si="3"/>
        <v>0</v>
      </c>
      <c r="J30" s="47"/>
      <c r="K30" s="47"/>
      <c r="L30" s="47"/>
      <c r="M30" s="47"/>
    </row>
    <row r="31" ht="18.75" customHeight="1">
      <c r="A31" s="72"/>
      <c r="B31" s="73"/>
      <c r="C31" s="87"/>
      <c r="D31" s="74"/>
      <c r="E31" s="74"/>
      <c r="F31" s="77">
        <f>SUM(F4:F30)</f>
        <v>14</v>
      </c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11:B12"/>
    <mergeCell ref="B13:B14"/>
    <mergeCell ref="D13:D14"/>
    <mergeCell ref="E13:E14"/>
    <mergeCell ref="D15:D16"/>
    <mergeCell ref="E15:E16"/>
    <mergeCell ref="B19:B21"/>
    <mergeCell ref="D19:D21"/>
    <mergeCell ref="A1:M2"/>
    <mergeCell ref="J4:J30"/>
    <mergeCell ref="K4:K30"/>
    <mergeCell ref="L4:L30"/>
    <mergeCell ref="M4:M30"/>
    <mergeCell ref="D11:D12"/>
    <mergeCell ref="E11:E12"/>
    <mergeCell ref="E19:E2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78" t="s">
        <v>4</v>
      </c>
      <c r="D3" s="16" t="s">
        <v>5</v>
      </c>
      <c r="E3" s="16" t="s">
        <v>6</v>
      </c>
      <c r="F3" s="13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v>1.0</v>
      </c>
      <c r="B4" s="64">
        <v>45026.0</v>
      </c>
      <c r="C4" s="80" t="s">
        <v>181</v>
      </c>
      <c r="D4" s="67" t="s">
        <v>182</v>
      </c>
      <c r="E4" s="67" t="s">
        <v>28</v>
      </c>
      <c r="F4" s="32">
        <v>1.0</v>
      </c>
      <c r="G4" s="33">
        <v>4950.0</v>
      </c>
      <c r="H4" s="33">
        <v>9900.0</v>
      </c>
      <c r="I4" s="33">
        <f t="shared" ref="I4:I30" si="3">H4-G4</f>
        <v>4950</v>
      </c>
      <c r="J4" s="19">
        <f t="shared" ref="J4:K4" si="1">SUM(H4:H42)</f>
        <v>56050</v>
      </c>
      <c r="K4" s="37">
        <f t="shared" si="1"/>
        <v>28750</v>
      </c>
      <c r="L4" s="39">
        <f t="shared" ref="L4:M4" si="2">J4/2</f>
        <v>28025</v>
      </c>
      <c r="M4" s="41">
        <f t="shared" si="2"/>
        <v>14375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v>2.0</v>
      </c>
      <c r="B5" s="47"/>
      <c r="C5" s="80" t="s">
        <v>75</v>
      </c>
      <c r="D5" s="47"/>
      <c r="E5" s="47"/>
      <c r="F5" s="32">
        <v>1.0</v>
      </c>
      <c r="G5" s="33">
        <v>1800.0</v>
      </c>
      <c r="H5" s="33">
        <v>3600.0</v>
      </c>
      <c r="I5" s="33">
        <f t="shared" si="3"/>
        <v>1800</v>
      </c>
      <c r="J5" s="38"/>
      <c r="K5" s="38"/>
      <c r="L5" s="38"/>
      <c r="M5" s="38"/>
    </row>
    <row r="6" ht="18.75" customHeight="1">
      <c r="A6" s="26">
        <v>3.0</v>
      </c>
      <c r="B6" s="64">
        <v>45036.0</v>
      </c>
      <c r="C6" s="80" t="s">
        <v>198</v>
      </c>
      <c r="D6" s="67" t="s">
        <v>199</v>
      </c>
      <c r="E6" s="67" t="s">
        <v>134</v>
      </c>
      <c r="F6" s="32">
        <v>1.0</v>
      </c>
      <c r="G6" s="33">
        <v>6600.0</v>
      </c>
      <c r="H6" s="33">
        <f>18000-3600</f>
        <v>14400</v>
      </c>
      <c r="I6" s="33">
        <f t="shared" si="3"/>
        <v>7800</v>
      </c>
      <c r="J6" s="38"/>
      <c r="K6" s="38"/>
      <c r="L6" s="38"/>
      <c r="M6" s="38"/>
      <c r="N6" s="57"/>
    </row>
    <row r="7" ht="18.75" customHeight="1">
      <c r="A7" s="26">
        <v>4.0</v>
      </c>
      <c r="B7" s="38"/>
      <c r="C7" s="80" t="s">
        <v>204</v>
      </c>
      <c r="D7" s="38"/>
      <c r="E7" s="38"/>
      <c r="F7" s="32">
        <v>1.0</v>
      </c>
      <c r="G7" s="33">
        <v>3000.0</v>
      </c>
      <c r="H7" s="33">
        <v>4400.0</v>
      </c>
      <c r="I7" s="33">
        <f t="shared" si="3"/>
        <v>1400</v>
      </c>
      <c r="J7" s="38"/>
      <c r="K7" s="38"/>
      <c r="L7" s="38"/>
      <c r="M7" s="38"/>
    </row>
    <row r="8" ht="18.75" customHeight="1">
      <c r="A8" s="26">
        <v>5.0</v>
      </c>
      <c r="B8" s="88">
        <v>45025.0</v>
      </c>
      <c r="C8" s="80" t="s">
        <v>75</v>
      </c>
      <c r="D8" s="89" t="s">
        <v>128</v>
      </c>
      <c r="E8" s="89" t="s">
        <v>61</v>
      </c>
      <c r="F8" s="32">
        <v>1.0</v>
      </c>
      <c r="G8" s="33">
        <v>1800.0</v>
      </c>
      <c r="H8" s="33">
        <v>3600.0</v>
      </c>
      <c r="I8" s="33">
        <f t="shared" si="3"/>
        <v>1800</v>
      </c>
      <c r="J8" s="38"/>
      <c r="K8" s="38"/>
      <c r="L8" s="38"/>
      <c r="M8" s="38"/>
      <c r="N8" s="83" t="s">
        <v>188</v>
      </c>
    </row>
    <row r="9" ht="18.75" customHeight="1">
      <c r="A9" s="26">
        <v>6.0</v>
      </c>
      <c r="B9" s="79">
        <v>45031.0</v>
      </c>
      <c r="C9" s="80" t="s">
        <v>75</v>
      </c>
      <c r="D9" s="81" t="s">
        <v>72</v>
      </c>
      <c r="E9" s="31" t="s">
        <v>31</v>
      </c>
      <c r="F9" s="32">
        <v>1.0</v>
      </c>
      <c r="G9" s="33">
        <v>1800.0</v>
      </c>
      <c r="H9" s="33">
        <v>4000.0</v>
      </c>
      <c r="I9" s="33">
        <f t="shared" si="3"/>
        <v>2200</v>
      </c>
      <c r="J9" s="38"/>
      <c r="K9" s="38"/>
      <c r="L9" s="38"/>
      <c r="M9" s="38"/>
    </row>
    <row r="10" ht="18.75" customHeight="1">
      <c r="A10" s="26">
        <v>7.0</v>
      </c>
      <c r="B10" s="79">
        <v>45038.0</v>
      </c>
      <c r="C10" s="80" t="s">
        <v>18</v>
      </c>
      <c r="D10" s="81" t="s">
        <v>208</v>
      </c>
      <c r="E10" s="31" t="s">
        <v>23</v>
      </c>
      <c r="F10" s="32">
        <v>1.0</v>
      </c>
      <c r="G10" s="33">
        <v>2400.0</v>
      </c>
      <c r="H10" s="33">
        <v>6750.0</v>
      </c>
      <c r="I10" s="33">
        <f t="shared" si="3"/>
        <v>4350</v>
      </c>
      <c r="J10" s="38"/>
      <c r="K10" s="38"/>
      <c r="L10" s="38"/>
      <c r="M10" s="38"/>
      <c r="N10" s="83"/>
    </row>
    <row r="11" ht="18.75" customHeight="1">
      <c r="A11" s="26">
        <v>6.0</v>
      </c>
      <c r="B11" s="90">
        <v>45143.0</v>
      </c>
      <c r="C11" s="80" t="s">
        <v>181</v>
      </c>
      <c r="D11" s="65" t="s">
        <v>209</v>
      </c>
      <c r="E11" s="65" t="s">
        <v>201</v>
      </c>
      <c r="F11" s="32">
        <v>1.0</v>
      </c>
      <c r="G11" s="33">
        <v>4950.0</v>
      </c>
      <c r="H11" s="33">
        <v>9400.0</v>
      </c>
      <c r="I11" s="33">
        <f t="shared" si="3"/>
        <v>4450</v>
      </c>
      <c r="J11" s="38"/>
      <c r="K11" s="38"/>
      <c r="L11" s="38"/>
      <c r="M11" s="38"/>
      <c r="N11" s="83"/>
    </row>
    <row r="12" ht="18.75" customHeight="1">
      <c r="A12" s="26">
        <v>8.0</v>
      </c>
      <c r="B12" s="91"/>
      <c r="C12" s="80"/>
      <c r="D12" s="91"/>
      <c r="E12" s="91"/>
      <c r="F12" s="32"/>
      <c r="G12" s="33"/>
      <c r="H12" s="33"/>
      <c r="I12" s="33">
        <f t="shared" si="3"/>
        <v>0</v>
      </c>
      <c r="J12" s="38"/>
      <c r="K12" s="38"/>
      <c r="L12" s="38"/>
      <c r="M12" s="38"/>
    </row>
    <row r="13" ht="18.75" customHeight="1">
      <c r="A13" s="26">
        <v>9.0</v>
      </c>
      <c r="B13" s="64"/>
      <c r="C13" s="80"/>
      <c r="D13" s="67"/>
      <c r="E13" s="67"/>
      <c r="F13" s="32"/>
      <c r="G13" s="33"/>
      <c r="H13" s="33"/>
      <c r="I13" s="33">
        <f t="shared" si="3"/>
        <v>0</v>
      </c>
      <c r="J13" s="38"/>
      <c r="K13" s="38"/>
      <c r="L13" s="38"/>
      <c r="M13" s="38"/>
    </row>
    <row r="14" ht="18.75" customHeight="1">
      <c r="A14" s="26">
        <v>10.0</v>
      </c>
      <c r="B14" s="47"/>
      <c r="C14" s="80"/>
      <c r="D14" s="47"/>
      <c r="E14" s="47"/>
      <c r="F14" s="32"/>
      <c r="G14" s="33"/>
      <c r="H14" s="33"/>
      <c r="I14" s="33">
        <f t="shared" si="3"/>
        <v>0</v>
      </c>
      <c r="J14" s="38"/>
      <c r="K14" s="38"/>
      <c r="L14" s="38"/>
      <c r="M14" s="38"/>
      <c r="N14" s="83"/>
    </row>
    <row r="15" ht="18.75" customHeight="1">
      <c r="A15" s="26">
        <v>11.0</v>
      </c>
      <c r="B15" s="79"/>
      <c r="C15" s="80"/>
      <c r="D15" s="67"/>
      <c r="E15" s="67"/>
      <c r="F15" s="32"/>
      <c r="G15" s="33"/>
      <c r="H15" s="33"/>
      <c r="I15" s="33">
        <f t="shared" si="3"/>
        <v>0</v>
      </c>
      <c r="J15" s="38"/>
      <c r="K15" s="38"/>
      <c r="L15" s="38"/>
      <c r="M15" s="38"/>
    </row>
    <row r="16" ht="18.75" customHeight="1">
      <c r="A16" s="26">
        <v>12.0</v>
      </c>
      <c r="B16" s="79"/>
      <c r="C16" s="80"/>
      <c r="D16" s="47"/>
      <c r="E16" s="47"/>
      <c r="F16" s="32"/>
      <c r="G16" s="33"/>
      <c r="H16" s="33"/>
      <c r="I16" s="33">
        <f t="shared" si="3"/>
        <v>0</v>
      </c>
      <c r="J16" s="38"/>
      <c r="K16" s="38"/>
      <c r="L16" s="38"/>
      <c r="M16" s="38"/>
    </row>
    <row r="17" ht="18.75" customHeight="1">
      <c r="A17" s="26">
        <v>13.0</v>
      </c>
      <c r="B17" s="30"/>
      <c r="C17" s="85"/>
      <c r="D17" s="69"/>
      <c r="E17" s="69"/>
      <c r="F17" s="32"/>
      <c r="G17" s="70"/>
      <c r="H17" s="33"/>
      <c r="I17" s="33">
        <f t="shared" si="3"/>
        <v>0</v>
      </c>
      <c r="J17" s="38"/>
      <c r="K17" s="38"/>
      <c r="L17" s="38"/>
      <c r="M17" s="38"/>
      <c r="N17" s="83"/>
    </row>
    <row r="18" ht="18.75" customHeight="1">
      <c r="A18" s="26">
        <v>14.0</v>
      </c>
      <c r="B18" s="30"/>
      <c r="C18" s="86"/>
      <c r="D18" s="31"/>
      <c r="E18" s="31"/>
      <c r="F18" s="32"/>
      <c r="G18" s="33"/>
      <c r="H18" s="33"/>
      <c r="I18" s="33">
        <f t="shared" si="3"/>
        <v>0</v>
      </c>
      <c r="J18" s="38"/>
      <c r="K18" s="38"/>
      <c r="L18" s="38"/>
      <c r="M18" s="38"/>
      <c r="N18" s="83"/>
    </row>
    <row r="19" ht="18.75" customHeight="1">
      <c r="A19" s="26">
        <v>15.0</v>
      </c>
      <c r="B19" s="64"/>
      <c r="C19" s="86"/>
      <c r="D19" s="67"/>
      <c r="E19" s="67"/>
      <c r="F19" s="32"/>
      <c r="G19" s="33"/>
      <c r="H19" s="33"/>
      <c r="I19" s="33">
        <f t="shared" si="3"/>
        <v>0</v>
      </c>
      <c r="J19" s="38"/>
      <c r="K19" s="38"/>
      <c r="L19" s="38"/>
      <c r="M19" s="38"/>
      <c r="N19" s="83"/>
    </row>
    <row r="20" ht="18.75" customHeight="1">
      <c r="A20" s="26">
        <v>16.0</v>
      </c>
      <c r="B20" s="38"/>
      <c r="C20" s="86"/>
      <c r="D20" s="38"/>
      <c r="E20" s="38"/>
      <c r="F20" s="32"/>
      <c r="G20" s="70"/>
      <c r="H20" s="33"/>
      <c r="I20" s="33">
        <f t="shared" si="3"/>
        <v>0</v>
      </c>
      <c r="J20" s="38"/>
      <c r="K20" s="38"/>
      <c r="L20" s="38"/>
      <c r="M20" s="38"/>
    </row>
    <row r="21" ht="18.75" customHeight="1">
      <c r="A21" s="26">
        <v>17.0</v>
      </c>
      <c r="B21" s="47"/>
      <c r="C21" s="86"/>
      <c r="D21" s="47"/>
      <c r="E21" s="47"/>
      <c r="F21" s="32"/>
      <c r="G21" s="70"/>
      <c r="H21" s="33"/>
      <c r="I21" s="33">
        <f t="shared" si="3"/>
        <v>0</v>
      </c>
      <c r="J21" s="38"/>
      <c r="K21" s="38"/>
      <c r="L21" s="38"/>
      <c r="M21" s="38"/>
    </row>
    <row r="22" ht="18.75" customHeight="1">
      <c r="A22" s="26">
        <v>18.0</v>
      </c>
      <c r="B22" s="30"/>
      <c r="C22" s="86"/>
      <c r="D22" s="31"/>
      <c r="E22" s="31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26">
        <v>19.0</v>
      </c>
      <c r="B23" s="30"/>
      <c r="C23" s="86"/>
      <c r="D23" s="31"/>
      <c r="E23" s="31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26">
        <v>20.0</v>
      </c>
      <c r="B24" s="30"/>
      <c r="C24" s="86"/>
      <c r="D24" s="31"/>
      <c r="E24" s="31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26">
        <v>21.0</v>
      </c>
      <c r="B25" s="30"/>
      <c r="C25" s="86"/>
      <c r="D25" s="31"/>
      <c r="E25" s="31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26">
        <v>22.0</v>
      </c>
      <c r="B26" s="30"/>
      <c r="C26" s="86"/>
      <c r="D26" s="31"/>
      <c r="E26" s="31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26">
        <v>23.0</v>
      </c>
      <c r="B27" s="30"/>
      <c r="C27" s="86"/>
      <c r="D27" s="31"/>
      <c r="E27" s="31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26">
        <v>24.0</v>
      </c>
      <c r="B28" s="30"/>
      <c r="C28" s="86"/>
      <c r="D28" s="31"/>
      <c r="E28" s="31"/>
      <c r="F28" s="32"/>
      <c r="G28" s="33"/>
      <c r="H28" s="33"/>
      <c r="I28" s="33">
        <f t="shared" si="3"/>
        <v>0</v>
      </c>
      <c r="J28" s="38"/>
      <c r="K28" s="38"/>
      <c r="L28" s="38"/>
      <c r="M28" s="38"/>
    </row>
    <row r="29" ht="18.75" customHeight="1">
      <c r="A29" s="26">
        <v>25.0</v>
      </c>
      <c r="B29" s="30"/>
      <c r="C29" s="86"/>
      <c r="D29" s="31"/>
      <c r="E29" s="31"/>
      <c r="F29" s="32"/>
      <c r="G29" s="33"/>
      <c r="H29" s="33"/>
      <c r="I29" s="33">
        <f t="shared" si="3"/>
        <v>0</v>
      </c>
      <c r="J29" s="38"/>
      <c r="K29" s="38"/>
      <c r="L29" s="38"/>
      <c r="M29" s="38"/>
    </row>
    <row r="30" ht="18.75" customHeight="1">
      <c r="A30" s="26">
        <v>26.0</v>
      </c>
      <c r="B30" s="30"/>
      <c r="C30" s="86"/>
      <c r="D30" s="31"/>
      <c r="E30" s="31"/>
      <c r="F30" s="32"/>
      <c r="G30" s="33"/>
      <c r="H30" s="33"/>
      <c r="I30" s="33">
        <f t="shared" si="3"/>
        <v>0</v>
      </c>
      <c r="J30" s="47"/>
      <c r="K30" s="47"/>
      <c r="L30" s="47"/>
      <c r="M30" s="47"/>
    </row>
    <row r="31" ht="18.75" customHeight="1">
      <c r="A31" s="72"/>
      <c r="B31" s="73"/>
      <c r="C31" s="87"/>
      <c r="D31" s="74"/>
      <c r="E31" s="74"/>
      <c r="F31" s="77">
        <f>SUM(F4:F30)</f>
        <v>8</v>
      </c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B4:B5"/>
    <mergeCell ref="B6:B7"/>
    <mergeCell ref="D6:D7"/>
    <mergeCell ref="E6:E7"/>
    <mergeCell ref="B13:B14"/>
    <mergeCell ref="D13:D14"/>
    <mergeCell ref="E13:E14"/>
    <mergeCell ref="D15:D16"/>
    <mergeCell ref="E15:E16"/>
    <mergeCell ref="B19:B21"/>
    <mergeCell ref="D19:D21"/>
    <mergeCell ref="A1:M2"/>
    <mergeCell ref="D4:D5"/>
    <mergeCell ref="E4:E5"/>
    <mergeCell ref="J4:J30"/>
    <mergeCell ref="K4:K30"/>
    <mergeCell ref="L4:L30"/>
    <mergeCell ref="M4:M30"/>
    <mergeCell ref="E19:E2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78" t="s">
        <v>4</v>
      </c>
      <c r="D3" s="16" t="s">
        <v>5</v>
      </c>
      <c r="E3" s="16" t="s">
        <v>6</v>
      </c>
      <c r="F3" s="13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v>1.0</v>
      </c>
      <c r="B4" s="64">
        <v>45058.0</v>
      </c>
      <c r="C4" s="80" t="s">
        <v>211</v>
      </c>
      <c r="D4" s="67" t="s">
        <v>206</v>
      </c>
      <c r="E4" s="67" t="s">
        <v>134</v>
      </c>
      <c r="F4" s="32">
        <v>1.0</v>
      </c>
      <c r="G4" s="33">
        <v>7900.0</v>
      </c>
      <c r="H4" s="33">
        <v>15000.0</v>
      </c>
      <c r="I4" s="33">
        <f t="shared" ref="I4:I28" si="3">H4-G4</f>
        <v>7100</v>
      </c>
      <c r="J4" s="19">
        <f t="shared" ref="J4:K4" si="1">SUM(H4:H40)</f>
        <v>73100</v>
      </c>
      <c r="K4" s="37">
        <f t="shared" si="1"/>
        <v>40700</v>
      </c>
      <c r="L4" s="39">
        <f t="shared" ref="L4:M4" si="2">J4/2</f>
        <v>36550</v>
      </c>
      <c r="M4" s="41">
        <f t="shared" si="2"/>
        <v>20350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v>2.0</v>
      </c>
      <c r="B5" s="47"/>
      <c r="C5" s="80" t="s">
        <v>204</v>
      </c>
      <c r="D5" s="47"/>
      <c r="E5" s="47"/>
      <c r="F5" s="32">
        <v>1.0</v>
      </c>
      <c r="G5" s="33">
        <v>3000.0</v>
      </c>
      <c r="H5" s="33">
        <v>4900.0</v>
      </c>
      <c r="I5" s="33">
        <f t="shared" si="3"/>
        <v>1900</v>
      </c>
      <c r="J5" s="38"/>
      <c r="K5" s="38"/>
      <c r="L5" s="38"/>
      <c r="M5" s="38"/>
    </row>
    <row r="6" ht="18.75" customHeight="1">
      <c r="A6" s="26">
        <v>3.0</v>
      </c>
      <c r="B6" s="64">
        <v>45062.0</v>
      </c>
      <c r="C6" s="80" t="s">
        <v>142</v>
      </c>
      <c r="D6" s="65" t="s">
        <v>215</v>
      </c>
      <c r="E6" s="65" t="s">
        <v>216</v>
      </c>
      <c r="F6" s="32">
        <v>1.0</v>
      </c>
      <c r="G6" s="33">
        <v>2400.0</v>
      </c>
      <c r="H6" s="33">
        <v>6300.0</v>
      </c>
      <c r="I6" s="33">
        <f t="shared" si="3"/>
        <v>3900</v>
      </c>
      <c r="J6" s="38"/>
      <c r="K6" s="38"/>
      <c r="L6" s="38"/>
      <c r="M6" s="38"/>
      <c r="N6" s="57"/>
    </row>
    <row r="7" ht="18.75" customHeight="1">
      <c r="A7" s="26">
        <v>5.0</v>
      </c>
      <c r="B7" s="88">
        <v>45067.0</v>
      </c>
      <c r="C7" s="80" t="s">
        <v>18</v>
      </c>
      <c r="D7" s="89" t="s">
        <v>144</v>
      </c>
      <c r="E7" s="89" t="s">
        <v>217</v>
      </c>
      <c r="F7" s="32">
        <v>1.0</v>
      </c>
      <c r="G7" s="33">
        <v>2400.0</v>
      </c>
      <c r="H7" s="33">
        <v>6750.0</v>
      </c>
      <c r="I7" s="33">
        <f t="shared" si="3"/>
        <v>4350</v>
      </c>
      <c r="J7" s="38"/>
      <c r="K7" s="38"/>
      <c r="L7" s="38"/>
      <c r="M7" s="38"/>
      <c r="N7" s="83" t="s">
        <v>188</v>
      </c>
    </row>
    <row r="8" ht="18.75" customHeight="1">
      <c r="A8" s="26">
        <v>6.0</v>
      </c>
      <c r="B8" s="79">
        <v>45073.0</v>
      </c>
      <c r="C8" s="80" t="s">
        <v>137</v>
      </c>
      <c r="D8" s="81" t="s">
        <v>141</v>
      </c>
      <c r="E8" s="31" t="s">
        <v>221</v>
      </c>
      <c r="F8" s="32">
        <v>1.0</v>
      </c>
      <c r="G8" s="33">
        <v>3550.0</v>
      </c>
      <c r="H8" s="33">
        <v>7650.0</v>
      </c>
      <c r="I8" s="33">
        <f t="shared" si="3"/>
        <v>4100</v>
      </c>
      <c r="J8" s="38"/>
      <c r="K8" s="38"/>
      <c r="L8" s="38"/>
      <c r="M8" s="38"/>
    </row>
    <row r="9" ht="18.75" customHeight="1">
      <c r="A9" s="26">
        <v>7.0</v>
      </c>
      <c r="B9" s="79">
        <v>45076.0</v>
      </c>
      <c r="C9" s="80" t="s">
        <v>19</v>
      </c>
      <c r="D9" s="81" t="s">
        <v>223</v>
      </c>
      <c r="E9" s="31" t="s">
        <v>225</v>
      </c>
      <c r="F9" s="32">
        <v>1.0</v>
      </c>
      <c r="G9" s="33">
        <v>2100.0</v>
      </c>
      <c r="H9" s="33">
        <v>5400.0</v>
      </c>
      <c r="I9" s="33">
        <f t="shared" si="3"/>
        <v>3300</v>
      </c>
      <c r="J9" s="38"/>
      <c r="K9" s="38"/>
      <c r="L9" s="38"/>
      <c r="M9" s="38"/>
      <c r="N9" s="83"/>
    </row>
    <row r="10" ht="18.75" customHeight="1">
      <c r="A10" s="26">
        <v>6.0</v>
      </c>
      <c r="B10" s="64">
        <v>45079.0</v>
      </c>
      <c r="C10" s="80" t="s">
        <v>181</v>
      </c>
      <c r="D10" s="67" t="s">
        <v>229</v>
      </c>
      <c r="E10" s="67" t="s">
        <v>221</v>
      </c>
      <c r="F10" s="32">
        <v>1.0</v>
      </c>
      <c r="G10" s="33">
        <v>4950.0</v>
      </c>
      <c r="H10" s="33">
        <v>9900.0</v>
      </c>
      <c r="I10" s="33">
        <f t="shared" si="3"/>
        <v>4950</v>
      </c>
      <c r="J10" s="38"/>
      <c r="K10" s="38"/>
      <c r="L10" s="38"/>
      <c r="M10" s="38"/>
      <c r="N10" s="83"/>
    </row>
    <row r="11" ht="18.75" customHeight="1">
      <c r="A11" s="26">
        <v>8.0</v>
      </c>
      <c r="B11" s="47"/>
      <c r="C11" s="80" t="s">
        <v>167</v>
      </c>
      <c r="D11" s="47"/>
      <c r="E11" s="47"/>
      <c r="F11" s="32">
        <v>1.0</v>
      </c>
      <c r="G11" s="33">
        <v>750.0</v>
      </c>
      <c r="H11" s="33">
        <v>1500.0</v>
      </c>
      <c r="I11" s="33">
        <f t="shared" si="3"/>
        <v>750</v>
      </c>
      <c r="J11" s="38"/>
      <c r="K11" s="38"/>
      <c r="L11" s="38"/>
      <c r="M11" s="38"/>
    </row>
    <row r="12" ht="18.75" customHeight="1">
      <c r="A12" s="26">
        <v>9.0</v>
      </c>
      <c r="B12" s="64">
        <v>45081.0</v>
      </c>
      <c r="C12" s="80" t="s">
        <v>234</v>
      </c>
      <c r="D12" s="65" t="s">
        <v>236</v>
      </c>
      <c r="E12" s="65" t="s">
        <v>66</v>
      </c>
      <c r="F12" s="32">
        <v>1.0</v>
      </c>
      <c r="G12" s="33"/>
      <c r="H12" s="33">
        <v>4050.0</v>
      </c>
      <c r="I12" s="33">
        <f t="shared" si="3"/>
        <v>4050</v>
      </c>
      <c r="J12" s="38"/>
      <c r="K12" s="38"/>
      <c r="L12" s="38"/>
      <c r="M12" s="38"/>
    </row>
    <row r="13" ht="18.75" customHeight="1">
      <c r="A13" s="26">
        <v>11.0</v>
      </c>
      <c r="B13" s="79">
        <v>45081.0</v>
      </c>
      <c r="C13" s="80" t="s">
        <v>137</v>
      </c>
      <c r="D13" s="65" t="s">
        <v>59</v>
      </c>
      <c r="E13" s="65" t="s">
        <v>28</v>
      </c>
      <c r="F13" s="32">
        <v>1.0</v>
      </c>
      <c r="G13" s="33">
        <v>3550.0</v>
      </c>
      <c r="H13" s="33">
        <v>7650.0</v>
      </c>
      <c r="I13" s="33">
        <f t="shared" si="3"/>
        <v>4100</v>
      </c>
      <c r="J13" s="38"/>
      <c r="K13" s="38"/>
      <c r="L13" s="38"/>
      <c r="M13" s="38"/>
    </row>
    <row r="14" ht="18.75" customHeight="1">
      <c r="A14" s="26">
        <v>12.0</v>
      </c>
      <c r="B14" s="79">
        <v>45085.0</v>
      </c>
      <c r="C14" s="80" t="s">
        <v>75</v>
      </c>
      <c r="D14" s="91" t="s">
        <v>242</v>
      </c>
      <c r="E14" s="91" t="s">
        <v>227</v>
      </c>
      <c r="F14" s="32">
        <v>1.0</v>
      </c>
      <c r="G14" s="33">
        <v>1800.0</v>
      </c>
      <c r="H14" s="33">
        <v>4000.0</v>
      </c>
      <c r="I14" s="33">
        <f t="shared" si="3"/>
        <v>2200</v>
      </c>
      <c r="J14" s="38"/>
      <c r="K14" s="38"/>
      <c r="L14" s="38"/>
      <c r="M14" s="38"/>
    </row>
    <row r="15" ht="18.75" customHeight="1">
      <c r="A15" s="26">
        <v>13.0</v>
      </c>
      <c r="B15" s="30"/>
      <c r="C15" s="85"/>
      <c r="D15" s="69"/>
      <c r="E15" s="69"/>
      <c r="F15" s="32"/>
      <c r="G15" s="70"/>
      <c r="H15" s="33"/>
      <c r="I15" s="33">
        <f t="shared" si="3"/>
        <v>0</v>
      </c>
      <c r="J15" s="38"/>
      <c r="K15" s="38"/>
      <c r="L15" s="38"/>
      <c r="M15" s="38"/>
      <c r="N15" s="83"/>
    </row>
    <row r="16" ht="18.75" customHeight="1">
      <c r="A16" s="26">
        <v>14.0</v>
      </c>
      <c r="B16" s="30"/>
      <c r="C16" s="86"/>
      <c r="D16" s="31"/>
      <c r="E16" s="31"/>
      <c r="F16" s="32"/>
      <c r="G16" s="33"/>
      <c r="H16" s="33"/>
      <c r="I16" s="33">
        <f t="shared" si="3"/>
        <v>0</v>
      </c>
      <c r="J16" s="38"/>
      <c r="K16" s="38"/>
      <c r="L16" s="38"/>
      <c r="M16" s="38"/>
      <c r="N16" s="83"/>
    </row>
    <row r="17" ht="18.75" customHeight="1">
      <c r="A17" s="26">
        <v>15.0</v>
      </c>
      <c r="B17" s="64"/>
      <c r="C17" s="86"/>
      <c r="D17" s="67"/>
      <c r="E17" s="67"/>
      <c r="F17" s="32"/>
      <c r="G17" s="33"/>
      <c r="H17" s="33"/>
      <c r="I17" s="33">
        <f t="shared" si="3"/>
        <v>0</v>
      </c>
      <c r="J17" s="38"/>
      <c r="K17" s="38"/>
      <c r="L17" s="38"/>
      <c r="M17" s="38"/>
      <c r="N17" s="83"/>
    </row>
    <row r="18" ht="18.75" customHeight="1">
      <c r="A18" s="26">
        <v>16.0</v>
      </c>
      <c r="B18" s="38"/>
      <c r="C18" s="86"/>
      <c r="D18" s="38"/>
      <c r="E18" s="38"/>
      <c r="F18" s="32"/>
      <c r="G18" s="70"/>
      <c r="H18" s="33"/>
      <c r="I18" s="33">
        <f t="shared" si="3"/>
        <v>0</v>
      </c>
      <c r="J18" s="38"/>
      <c r="K18" s="38"/>
      <c r="L18" s="38"/>
      <c r="M18" s="38"/>
    </row>
    <row r="19" ht="18.75" customHeight="1">
      <c r="A19" s="26">
        <v>17.0</v>
      </c>
      <c r="B19" s="47"/>
      <c r="C19" s="86"/>
      <c r="D19" s="47"/>
      <c r="E19" s="47"/>
      <c r="F19" s="32"/>
      <c r="G19" s="70"/>
      <c r="H19" s="33"/>
      <c r="I19" s="33">
        <f t="shared" si="3"/>
        <v>0</v>
      </c>
      <c r="J19" s="38"/>
      <c r="K19" s="38"/>
      <c r="L19" s="38"/>
      <c r="M19" s="38"/>
    </row>
    <row r="20" ht="18.75" customHeight="1">
      <c r="A20" s="26">
        <v>18.0</v>
      </c>
      <c r="B20" s="30"/>
      <c r="C20" s="86"/>
      <c r="D20" s="31"/>
      <c r="E20" s="31"/>
      <c r="F20" s="32"/>
      <c r="G20" s="33"/>
      <c r="H20" s="33"/>
      <c r="I20" s="33">
        <f t="shared" si="3"/>
        <v>0</v>
      </c>
      <c r="J20" s="38"/>
      <c r="K20" s="38"/>
      <c r="L20" s="38"/>
      <c r="M20" s="38"/>
    </row>
    <row r="21" ht="18.75" customHeight="1">
      <c r="A21" s="26">
        <v>19.0</v>
      </c>
      <c r="B21" s="30"/>
      <c r="C21" s="86"/>
      <c r="D21" s="31"/>
      <c r="E21" s="31"/>
      <c r="F21" s="32"/>
      <c r="G21" s="33"/>
      <c r="H21" s="33"/>
      <c r="I21" s="33">
        <f t="shared" si="3"/>
        <v>0</v>
      </c>
      <c r="J21" s="38"/>
      <c r="K21" s="38"/>
      <c r="L21" s="38"/>
      <c r="M21" s="38"/>
    </row>
    <row r="22" ht="18.75" customHeight="1">
      <c r="A22" s="26">
        <v>20.0</v>
      </c>
      <c r="B22" s="30"/>
      <c r="C22" s="86"/>
      <c r="D22" s="31"/>
      <c r="E22" s="31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26">
        <v>21.0</v>
      </c>
      <c r="B23" s="30"/>
      <c r="C23" s="86"/>
      <c r="D23" s="31"/>
      <c r="E23" s="31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26">
        <v>22.0</v>
      </c>
      <c r="B24" s="30"/>
      <c r="C24" s="86"/>
      <c r="D24" s="31"/>
      <c r="E24" s="31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26">
        <v>23.0</v>
      </c>
      <c r="B25" s="30"/>
      <c r="C25" s="86"/>
      <c r="D25" s="31"/>
      <c r="E25" s="31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26">
        <v>24.0</v>
      </c>
      <c r="B26" s="30"/>
      <c r="C26" s="86"/>
      <c r="D26" s="31"/>
      <c r="E26" s="31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26">
        <v>25.0</v>
      </c>
      <c r="B27" s="30"/>
      <c r="C27" s="86"/>
      <c r="D27" s="31"/>
      <c r="E27" s="31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26">
        <v>26.0</v>
      </c>
      <c r="B28" s="30"/>
      <c r="C28" s="86"/>
      <c r="D28" s="31"/>
      <c r="E28" s="31"/>
      <c r="F28" s="32"/>
      <c r="G28" s="33"/>
      <c r="H28" s="33"/>
      <c r="I28" s="33">
        <f t="shared" si="3"/>
        <v>0</v>
      </c>
      <c r="J28" s="47"/>
      <c r="K28" s="47"/>
      <c r="L28" s="47"/>
      <c r="M28" s="47"/>
    </row>
    <row r="29" ht="18.75" customHeight="1">
      <c r="A29" s="72"/>
      <c r="B29" s="73"/>
      <c r="C29" s="87"/>
      <c r="D29" s="74"/>
      <c r="E29" s="74"/>
      <c r="F29" s="77">
        <f>SUM(F4:F28)</f>
        <v>11</v>
      </c>
      <c r="G29" s="76"/>
      <c r="H29" s="76"/>
      <c r="I29" s="72"/>
      <c r="J29" s="24"/>
      <c r="K29" s="24"/>
      <c r="L29" s="24"/>
      <c r="M29" s="24"/>
    </row>
    <row r="30" ht="18.75" customHeight="1">
      <c r="A30" s="72"/>
      <c r="B30" s="73"/>
      <c r="C30" s="87"/>
      <c r="D30" s="74"/>
      <c r="E30" s="74"/>
      <c r="F30" s="72"/>
      <c r="G30" s="76"/>
      <c r="H30" s="76"/>
      <c r="I30" s="72"/>
      <c r="J30" s="24"/>
      <c r="K30" s="24"/>
      <c r="L30" s="24"/>
      <c r="M30" s="24"/>
    </row>
    <row r="31" ht="18.75" customHeight="1">
      <c r="A31" s="72"/>
      <c r="B31" s="73"/>
      <c r="C31" s="87"/>
      <c r="D31" s="74"/>
      <c r="E31" s="74"/>
      <c r="F31" s="72"/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 t="s">
        <v>123</v>
      </c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/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4:B5"/>
    <mergeCell ref="B10:B11"/>
    <mergeCell ref="D10:D11"/>
    <mergeCell ref="E10:E11"/>
    <mergeCell ref="B17:B19"/>
    <mergeCell ref="D17:D19"/>
    <mergeCell ref="A1:M2"/>
    <mergeCell ref="D4:D5"/>
    <mergeCell ref="E4:E5"/>
    <mergeCell ref="J4:J28"/>
    <mergeCell ref="K4:K28"/>
    <mergeCell ref="L4:L28"/>
    <mergeCell ref="M4:M28"/>
    <mergeCell ref="E17:E19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78" t="s">
        <v>4</v>
      </c>
      <c r="D3" s="16" t="s">
        <v>5</v>
      </c>
      <c r="E3" s="16" t="s">
        <v>6</v>
      </c>
      <c r="F3" s="13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/>
      <c r="B4" s="79">
        <v>45087.0</v>
      </c>
      <c r="C4" s="80" t="s">
        <v>55</v>
      </c>
      <c r="D4" s="81" t="s">
        <v>214</v>
      </c>
      <c r="E4" s="31" t="s">
        <v>66</v>
      </c>
      <c r="F4" s="32">
        <v>1.0</v>
      </c>
      <c r="G4" s="33">
        <v>3550.0</v>
      </c>
      <c r="H4" s="33">
        <v>7650.0</v>
      </c>
      <c r="I4" s="33">
        <f t="shared" ref="I4:I30" si="3">H4-G4</f>
        <v>4100</v>
      </c>
      <c r="J4" s="19">
        <f t="shared" ref="J4:K4" si="1">SUM(H4:H42)</f>
        <v>78850</v>
      </c>
      <c r="K4" s="37">
        <f t="shared" si="1"/>
        <v>37400</v>
      </c>
      <c r="L4" s="39">
        <f t="shared" ref="L4:M4" si="2">J4/2</f>
        <v>39425</v>
      </c>
      <c r="M4" s="41">
        <f t="shared" si="2"/>
        <v>18700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/>
      <c r="B5" s="79">
        <v>45089.0</v>
      </c>
      <c r="C5" s="80" t="s">
        <v>219</v>
      </c>
      <c r="D5" s="81" t="s">
        <v>64</v>
      </c>
      <c r="E5" s="31" t="s">
        <v>93</v>
      </c>
      <c r="F5" s="32">
        <v>1.0</v>
      </c>
      <c r="G5" s="33">
        <v>3000.0</v>
      </c>
      <c r="H5" s="33">
        <v>5500.0</v>
      </c>
      <c r="I5" s="33">
        <f t="shared" si="3"/>
        <v>2500</v>
      </c>
      <c r="J5" s="38"/>
      <c r="K5" s="38"/>
      <c r="L5" s="38"/>
      <c r="M5" s="38"/>
    </row>
    <row r="6" ht="18.75" customHeight="1">
      <c r="A6" s="26">
        <v>3.0</v>
      </c>
      <c r="B6" s="79">
        <v>45089.0</v>
      </c>
      <c r="C6" s="80" t="s">
        <v>163</v>
      </c>
      <c r="D6" s="81" t="s">
        <v>222</v>
      </c>
      <c r="E6" s="31" t="s">
        <v>93</v>
      </c>
      <c r="F6" s="32">
        <v>1.0</v>
      </c>
      <c r="G6" s="33">
        <v>2500.0</v>
      </c>
      <c r="H6" s="33">
        <v>4500.0</v>
      </c>
      <c r="I6" s="33">
        <f t="shared" si="3"/>
        <v>2000</v>
      </c>
      <c r="J6" s="38"/>
      <c r="K6" s="38"/>
      <c r="L6" s="38"/>
      <c r="M6" s="38"/>
      <c r="N6" s="57"/>
    </row>
    <row r="7" ht="18.75" customHeight="1">
      <c r="A7" s="26">
        <v>4.0</v>
      </c>
      <c r="B7" s="64">
        <v>45090.0</v>
      </c>
      <c r="C7" s="80" t="s">
        <v>224</v>
      </c>
      <c r="D7" s="65" t="s">
        <v>226</v>
      </c>
      <c r="E7" s="65" t="s">
        <v>227</v>
      </c>
      <c r="F7" s="32">
        <v>1.0</v>
      </c>
      <c r="G7" s="33">
        <v>2500.0</v>
      </c>
      <c r="H7" s="33">
        <v>4000.0</v>
      </c>
      <c r="I7" s="33">
        <f t="shared" si="3"/>
        <v>1500</v>
      </c>
      <c r="J7" s="38"/>
      <c r="K7" s="38"/>
      <c r="L7" s="38"/>
      <c r="M7" s="38"/>
    </row>
    <row r="8" ht="18.75" customHeight="1">
      <c r="A8" s="26">
        <v>5.0</v>
      </c>
      <c r="B8" s="88">
        <v>45088.0</v>
      </c>
      <c r="C8" s="80" t="s">
        <v>228</v>
      </c>
      <c r="D8" s="89" t="s">
        <v>116</v>
      </c>
      <c r="E8" s="89" t="s">
        <v>93</v>
      </c>
      <c r="F8" s="32">
        <v>1.0</v>
      </c>
      <c r="G8" s="33">
        <v>2350.0</v>
      </c>
      <c r="H8" s="33">
        <v>4500.0</v>
      </c>
      <c r="I8" s="33">
        <f t="shared" si="3"/>
        <v>2150</v>
      </c>
      <c r="J8" s="38"/>
      <c r="K8" s="38"/>
      <c r="L8" s="38"/>
      <c r="M8" s="38"/>
      <c r="N8" s="83" t="s">
        <v>188</v>
      </c>
    </row>
    <row r="9" ht="18.75" customHeight="1">
      <c r="A9" s="26">
        <v>6.0</v>
      </c>
      <c r="B9" s="79">
        <v>45096.0</v>
      </c>
      <c r="C9" s="80" t="s">
        <v>163</v>
      </c>
      <c r="D9" s="81" t="s">
        <v>230</v>
      </c>
      <c r="E9" s="31" t="s">
        <v>231</v>
      </c>
      <c r="F9" s="32">
        <v>1.0</v>
      </c>
      <c r="G9" s="33">
        <v>2500.0</v>
      </c>
      <c r="H9" s="33">
        <v>5000.0</v>
      </c>
      <c r="I9" s="33">
        <f t="shared" si="3"/>
        <v>2500</v>
      </c>
      <c r="J9" s="38"/>
      <c r="K9" s="38"/>
      <c r="L9" s="38"/>
      <c r="M9" s="38"/>
    </row>
    <row r="10" ht="18.75" customHeight="1">
      <c r="A10" s="26">
        <v>7.0</v>
      </c>
      <c r="B10" s="79">
        <v>45096.0</v>
      </c>
      <c r="C10" s="80" t="s">
        <v>90</v>
      </c>
      <c r="D10" s="81" t="s">
        <v>232</v>
      </c>
      <c r="E10" s="31" t="s">
        <v>233</v>
      </c>
      <c r="F10" s="32">
        <v>1.0</v>
      </c>
      <c r="G10" s="33">
        <v>3000.0</v>
      </c>
      <c r="H10" s="33">
        <v>5400.0</v>
      </c>
      <c r="I10" s="33">
        <f t="shared" si="3"/>
        <v>2400</v>
      </c>
      <c r="J10" s="38"/>
      <c r="K10" s="38"/>
      <c r="L10" s="38"/>
      <c r="M10" s="38"/>
      <c r="N10" s="83"/>
    </row>
    <row r="11" ht="18.75" customHeight="1">
      <c r="A11" s="26">
        <v>6.0</v>
      </c>
      <c r="B11" s="102">
        <v>45100.0</v>
      </c>
      <c r="C11" s="80" t="s">
        <v>238</v>
      </c>
      <c r="D11" s="65" t="s">
        <v>239</v>
      </c>
      <c r="E11" s="65" t="s">
        <v>28</v>
      </c>
      <c r="F11" s="32">
        <v>1.0</v>
      </c>
      <c r="G11" s="33">
        <v>4000.0</v>
      </c>
      <c r="H11" s="33">
        <v>7000.0</v>
      </c>
      <c r="I11" s="33">
        <f t="shared" si="3"/>
        <v>3000</v>
      </c>
      <c r="J11" s="38"/>
      <c r="K11" s="38"/>
      <c r="L11" s="38"/>
      <c r="M11" s="38"/>
      <c r="N11" s="83"/>
    </row>
    <row r="12" ht="18.75" customHeight="1">
      <c r="A12" s="26">
        <v>8.0</v>
      </c>
      <c r="B12" s="103">
        <v>45108.0</v>
      </c>
      <c r="C12" s="80" t="s">
        <v>228</v>
      </c>
      <c r="D12" s="91" t="s">
        <v>240</v>
      </c>
      <c r="E12" s="91" t="s">
        <v>31</v>
      </c>
      <c r="F12" s="32">
        <v>1.0</v>
      </c>
      <c r="G12" s="33">
        <v>3000.0</v>
      </c>
      <c r="H12" s="33">
        <v>4050.0</v>
      </c>
      <c r="I12" s="33">
        <f t="shared" si="3"/>
        <v>1050</v>
      </c>
      <c r="J12" s="38"/>
      <c r="K12" s="38"/>
      <c r="L12" s="38"/>
      <c r="M12" s="38"/>
    </row>
    <row r="13" ht="18.75" customHeight="1">
      <c r="A13" s="26">
        <v>9.0</v>
      </c>
      <c r="B13" s="64">
        <v>45113.0</v>
      </c>
      <c r="C13" s="80" t="s">
        <v>192</v>
      </c>
      <c r="D13" s="67" t="s">
        <v>208</v>
      </c>
      <c r="E13" s="67" t="s">
        <v>23</v>
      </c>
      <c r="F13" s="32">
        <v>1.0</v>
      </c>
      <c r="G13" s="33">
        <v>2400.0</v>
      </c>
      <c r="H13" s="33">
        <v>6750.0</v>
      </c>
      <c r="I13" s="33">
        <f t="shared" si="3"/>
        <v>4350</v>
      </c>
      <c r="J13" s="38"/>
      <c r="K13" s="38"/>
      <c r="L13" s="38"/>
      <c r="M13" s="38"/>
    </row>
    <row r="14" ht="18.75" customHeight="1">
      <c r="A14" s="26">
        <v>10.0</v>
      </c>
      <c r="B14" s="38"/>
      <c r="C14" s="80" t="s">
        <v>246</v>
      </c>
      <c r="D14" s="38"/>
      <c r="E14" s="38"/>
      <c r="F14" s="32">
        <v>1.0</v>
      </c>
      <c r="G14" s="33">
        <v>1800.0</v>
      </c>
      <c r="H14" s="33">
        <v>3800.0</v>
      </c>
      <c r="I14" s="33">
        <f t="shared" si="3"/>
        <v>2000</v>
      </c>
      <c r="J14" s="38"/>
      <c r="K14" s="38"/>
      <c r="L14" s="38"/>
      <c r="M14" s="38"/>
      <c r="N14" s="83"/>
    </row>
    <row r="15" ht="18.75" customHeight="1">
      <c r="A15" s="26">
        <v>11.0</v>
      </c>
      <c r="B15" s="47"/>
      <c r="C15" s="80" t="s">
        <v>167</v>
      </c>
      <c r="D15" s="38"/>
      <c r="E15" s="38"/>
      <c r="F15" s="32">
        <v>1.0</v>
      </c>
      <c r="G15" s="33">
        <v>850.0</v>
      </c>
      <c r="H15" s="33">
        <v>1300.0</v>
      </c>
      <c r="I15" s="33">
        <f t="shared" si="3"/>
        <v>450</v>
      </c>
      <c r="J15" s="38"/>
      <c r="K15" s="38"/>
      <c r="L15" s="38"/>
      <c r="M15" s="38"/>
    </row>
    <row r="16" ht="18.75" customHeight="1">
      <c r="A16" s="26">
        <v>12.0</v>
      </c>
      <c r="B16" s="79">
        <v>45113.0</v>
      </c>
      <c r="C16" s="80" t="s">
        <v>167</v>
      </c>
      <c r="D16" s="91" t="s">
        <v>206</v>
      </c>
      <c r="E16" s="91" t="s">
        <v>201</v>
      </c>
      <c r="F16" s="32">
        <v>1.0</v>
      </c>
      <c r="G16" s="33">
        <v>850.0</v>
      </c>
      <c r="H16" s="33">
        <v>2000.0</v>
      </c>
      <c r="I16" s="33">
        <f t="shared" si="3"/>
        <v>1150</v>
      </c>
      <c r="J16" s="38"/>
      <c r="K16" s="38"/>
      <c r="L16" s="38"/>
      <c r="M16" s="38"/>
    </row>
    <row r="17" ht="18.75" customHeight="1">
      <c r="A17" s="26">
        <v>13.0</v>
      </c>
      <c r="B17" s="30">
        <v>45111.0</v>
      </c>
      <c r="C17" s="85" t="s">
        <v>192</v>
      </c>
      <c r="D17" s="69" t="s">
        <v>226</v>
      </c>
      <c r="E17" s="69" t="s">
        <v>252</v>
      </c>
      <c r="F17" s="32">
        <v>1.0</v>
      </c>
      <c r="G17" s="70">
        <v>2400.0</v>
      </c>
      <c r="H17" s="33">
        <v>3000.0</v>
      </c>
      <c r="I17" s="33">
        <f t="shared" si="3"/>
        <v>600</v>
      </c>
      <c r="J17" s="38"/>
      <c r="K17" s="38"/>
      <c r="L17" s="38"/>
      <c r="M17" s="38"/>
      <c r="N17" s="83"/>
    </row>
    <row r="18" ht="18.75" customHeight="1">
      <c r="A18" s="26">
        <v>14.0</v>
      </c>
      <c r="B18" s="30">
        <v>45114.0</v>
      </c>
      <c r="C18" s="86" t="s">
        <v>255</v>
      </c>
      <c r="D18" s="31" t="s">
        <v>256</v>
      </c>
      <c r="E18" s="31" t="s">
        <v>257</v>
      </c>
      <c r="F18" s="32">
        <v>1.0</v>
      </c>
      <c r="G18" s="33">
        <v>1800.0</v>
      </c>
      <c r="H18" s="33">
        <v>4500.0</v>
      </c>
      <c r="I18" s="33">
        <f t="shared" si="3"/>
        <v>2700</v>
      </c>
      <c r="J18" s="38"/>
      <c r="K18" s="38"/>
      <c r="L18" s="38"/>
      <c r="M18" s="38"/>
      <c r="N18" s="83"/>
    </row>
    <row r="19" ht="18.75" customHeight="1">
      <c r="A19" s="26">
        <v>15.0</v>
      </c>
      <c r="B19" s="64">
        <v>45115.0</v>
      </c>
      <c r="C19" s="86" t="s">
        <v>243</v>
      </c>
      <c r="D19" s="67" t="s">
        <v>259</v>
      </c>
      <c r="E19" s="67" t="s">
        <v>260</v>
      </c>
      <c r="F19" s="32">
        <v>1.0</v>
      </c>
      <c r="G19" s="33">
        <v>4950.0</v>
      </c>
      <c r="H19" s="33">
        <v>9900.0</v>
      </c>
      <c r="I19" s="33">
        <f t="shared" si="3"/>
        <v>4950</v>
      </c>
      <c r="J19" s="38"/>
      <c r="K19" s="38"/>
      <c r="L19" s="38"/>
      <c r="M19" s="38"/>
      <c r="N19" s="83"/>
    </row>
    <row r="20" ht="18.75" customHeight="1">
      <c r="A20" s="26">
        <v>16.0</v>
      </c>
      <c r="B20" s="107"/>
      <c r="C20" s="86"/>
      <c r="D20" s="108"/>
      <c r="E20" s="108"/>
      <c r="F20" s="32"/>
      <c r="G20" s="70"/>
      <c r="H20" s="33"/>
      <c r="I20" s="33">
        <f t="shared" si="3"/>
        <v>0</v>
      </c>
      <c r="J20" s="38"/>
      <c r="K20" s="38"/>
      <c r="L20" s="38"/>
      <c r="M20" s="38"/>
    </row>
    <row r="21" ht="18.75" customHeight="1">
      <c r="A21" s="26">
        <v>17.0</v>
      </c>
      <c r="B21" s="109"/>
      <c r="C21" s="86"/>
      <c r="D21" s="110"/>
      <c r="E21" s="110"/>
      <c r="F21" s="32"/>
      <c r="G21" s="70"/>
      <c r="H21" s="33"/>
      <c r="I21" s="33">
        <f t="shared" si="3"/>
        <v>0</v>
      </c>
      <c r="J21" s="38"/>
      <c r="K21" s="38"/>
      <c r="L21" s="38"/>
      <c r="M21" s="38"/>
    </row>
    <row r="22" ht="18.75" customHeight="1">
      <c r="A22" s="26">
        <v>18.0</v>
      </c>
      <c r="B22" s="30"/>
      <c r="C22" s="86"/>
      <c r="D22" s="31"/>
      <c r="E22" s="31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26">
        <v>19.0</v>
      </c>
      <c r="B23" s="30"/>
      <c r="C23" s="86"/>
      <c r="D23" s="31"/>
      <c r="E23" s="31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26">
        <v>20.0</v>
      </c>
      <c r="B24" s="30"/>
      <c r="C24" s="86"/>
      <c r="D24" s="31"/>
      <c r="E24" s="31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26">
        <v>21.0</v>
      </c>
      <c r="B25" s="30"/>
      <c r="C25" s="86"/>
      <c r="D25" s="31"/>
      <c r="E25" s="31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26">
        <v>22.0</v>
      </c>
      <c r="B26" s="30"/>
      <c r="C26" s="86"/>
      <c r="D26" s="31"/>
      <c r="E26" s="31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26">
        <v>23.0</v>
      </c>
      <c r="B27" s="30"/>
      <c r="C27" s="86"/>
      <c r="D27" s="31"/>
      <c r="E27" s="31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26">
        <v>24.0</v>
      </c>
      <c r="B28" s="30"/>
      <c r="C28" s="86"/>
      <c r="D28" s="31"/>
      <c r="E28" s="31"/>
      <c r="F28" s="32"/>
      <c r="G28" s="33"/>
      <c r="H28" s="33"/>
      <c r="I28" s="33">
        <f t="shared" si="3"/>
        <v>0</v>
      </c>
      <c r="J28" s="38"/>
      <c r="K28" s="38"/>
      <c r="L28" s="38"/>
      <c r="M28" s="38"/>
    </row>
    <row r="29" ht="18.75" customHeight="1">
      <c r="A29" s="26">
        <v>25.0</v>
      </c>
      <c r="B29" s="30"/>
      <c r="C29" s="86"/>
      <c r="D29" s="31"/>
      <c r="E29" s="31"/>
      <c r="F29" s="32"/>
      <c r="G29" s="33"/>
      <c r="H29" s="33"/>
      <c r="I29" s="33">
        <f t="shared" si="3"/>
        <v>0</v>
      </c>
      <c r="J29" s="38"/>
      <c r="K29" s="38"/>
      <c r="L29" s="38"/>
      <c r="M29" s="38"/>
    </row>
    <row r="30" ht="18.75" customHeight="1">
      <c r="A30" s="26">
        <v>26.0</v>
      </c>
      <c r="B30" s="30"/>
      <c r="C30" s="86"/>
      <c r="D30" s="31"/>
      <c r="E30" s="31"/>
      <c r="F30" s="32"/>
      <c r="G30" s="33"/>
      <c r="H30" s="33"/>
      <c r="I30" s="33">
        <f t="shared" si="3"/>
        <v>0</v>
      </c>
      <c r="J30" s="47"/>
      <c r="K30" s="47"/>
      <c r="L30" s="47"/>
      <c r="M30" s="47"/>
    </row>
    <row r="31" ht="18.75" customHeight="1">
      <c r="A31" s="72"/>
      <c r="B31" s="73"/>
      <c r="C31" s="87"/>
      <c r="D31" s="74"/>
      <c r="E31" s="74"/>
      <c r="F31" s="77">
        <f>SUM(F4:F30)</f>
        <v>16</v>
      </c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M2"/>
    <mergeCell ref="J4:J30"/>
    <mergeCell ref="K4:K30"/>
    <mergeCell ref="L4:L30"/>
    <mergeCell ref="M4:M30"/>
    <mergeCell ref="B13:B15"/>
    <mergeCell ref="D13:D15"/>
    <mergeCell ref="E13:E15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92" t="s">
        <v>213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ht="18.75" customHeight="1">
      <c r="A2" s="9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6"/>
    </row>
    <row r="3" ht="18.75" customHeight="1">
      <c r="A3" s="96" t="s">
        <v>2</v>
      </c>
      <c r="B3" s="97" t="s">
        <v>3</v>
      </c>
      <c r="C3" s="98" t="s">
        <v>4</v>
      </c>
      <c r="D3" s="99" t="s">
        <v>5</v>
      </c>
      <c r="E3" s="99" t="s">
        <v>6</v>
      </c>
      <c r="F3" s="100" t="s">
        <v>7</v>
      </c>
      <c r="G3" s="101" t="s">
        <v>8</v>
      </c>
      <c r="H3" s="101" t="s">
        <v>9</v>
      </c>
      <c r="I3" s="96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v>1.0</v>
      </c>
      <c r="B4" s="30">
        <v>45116.0</v>
      </c>
      <c r="C4" s="80" t="s">
        <v>218</v>
      </c>
      <c r="D4" s="31" t="s">
        <v>220</v>
      </c>
      <c r="E4" s="31" t="s">
        <v>31</v>
      </c>
      <c r="F4" s="32">
        <v>1.0</v>
      </c>
      <c r="G4" s="33">
        <v>1550.0</v>
      </c>
      <c r="H4" s="33">
        <v>3000.0</v>
      </c>
      <c r="I4" s="33">
        <f t="shared" ref="I4:I30" si="3">H4-G4</f>
        <v>1450</v>
      </c>
      <c r="J4" s="19">
        <f t="shared" ref="J4:K4" si="1">SUM(H4:H42)</f>
        <v>85100</v>
      </c>
      <c r="K4" s="37">
        <f t="shared" si="1"/>
        <v>44850</v>
      </c>
      <c r="L4" s="39">
        <f t="shared" ref="L4:M4" si="2">J4/2</f>
        <v>42550</v>
      </c>
      <c r="M4" s="41">
        <f t="shared" si="2"/>
        <v>22425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v>2.0</v>
      </c>
      <c r="B5" s="30">
        <v>45124.0</v>
      </c>
      <c r="C5" s="80" t="s">
        <v>90</v>
      </c>
      <c r="D5" s="31" t="s">
        <v>64</v>
      </c>
      <c r="E5" s="31" t="s">
        <v>61</v>
      </c>
      <c r="F5" s="32">
        <v>1.0</v>
      </c>
      <c r="G5" s="33">
        <v>2500.0</v>
      </c>
      <c r="H5" s="33">
        <v>5500.0</v>
      </c>
      <c r="I5" s="33">
        <f t="shared" si="3"/>
        <v>3000</v>
      </c>
      <c r="J5" s="38"/>
      <c r="K5" s="38"/>
      <c r="L5" s="38"/>
      <c r="M5" s="38"/>
    </row>
    <row r="6" ht="18.75" customHeight="1">
      <c r="A6" s="26">
        <v>3.0</v>
      </c>
      <c r="B6" s="30">
        <v>45125.0</v>
      </c>
      <c r="C6" s="80" t="s">
        <v>235</v>
      </c>
      <c r="D6" s="31" t="s">
        <v>88</v>
      </c>
      <c r="E6" s="31" t="s">
        <v>237</v>
      </c>
      <c r="F6" s="32">
        <v>1.0</v>
      </c>
      <c r="G6" s="33">
        <v>750.0</v>
      </c>
      <c r="H6" s="33">
        <v>1500.0</v>
      </c>
      <c r="I6" s="33">
        <f t="shared" si="3"/>
        <v>750</v>
      </c>
      <c r="J6" s="38"/>
      <c r="K6" s="38"/>
      <c r="L6" s="38"/>
      <c r="M6" s="38"/>
      <c r="N6" s="57"/>
    </row>
    <row r="7" ht="18.75" customHeight="1">
      <c r="A7" s="26">
        <v>4.0</v>
      </c>
      <c r="B7" s="30">
        <v>45126.0</v>
      </c>
      <c r="C7" s="80" t="s">
        <v>192</v>
      </c>
      <c r="D7" s="31" t="s">
        <v>146</v>
      </c>
      <c r="E7" s="31" t="s">
        <v>241</v>
      </c>
      <c r="F7" s="32">
        <v>1.0</v>
      </c>
      <c r="G7" s="33">
        <v>2800.0</v>
      </c>
      <c r="H7" s="33">
        <v>7500.0</v>
      </c>
      <c r="I7" s="33">
        <f t="shared" si="3"/>
        <v>4700</v>
      </c>
      <c r="J7" s="38"/>
      <c r="K7" s="38"/>
      <c r="L7" s="38"/>
      <c r="M7" s="38"/>
    </row>
    <row r="8" ht="18.75" customHeight="1">
      <c r="A8" s="26">
        <v>5.0</v>
      </c>
      <c r="B8" s="104">
        <v>45125.0</v>
      </c>
      <c r="C8" s="80" t="s">
        <v>243</v>
      </c>
      <c r="D8" s="105" t="s">
        <v>244</v>
      </c>
      <c r="E8" s="105" t="s">
        <v>245</v>
      </c>
      <c r="F8" s="32">
        <v>1.0</v>
      </c>
      <c r="G8" s="33">
        <v>4950.0</v>
      </c>
      <c r="H8" s="33">
        <v>9900.0</v>
      </c>
      <c r="I8" s="33">
        <f t="shared" si="3"/>
        <v>4950</v>
      </c>
      <c r="J8" s="38"/>
      <c r="K8" s="38"/>
      <c r="L8" s="38"/>
      <c r="M8" s="38"/>
      <c r="N8" s="83"/>
    </row>
    <row r="9" ht="18.75" customHeight="1">
      <c r="A9" s="26">
        <v>6.0</v>
      </c>
      <c r="B9" s="69" t="s">
        <v>247</v>
      </c>
      <c r="C9" s="80" t="s">
        <v>243</v>
      </c>
      <c r="D9" s="31" t="s">
        <v>91</v>
      </c>
      <c r="E9" s="31" t="s">
        <v>28</v>
      </c>
      <c r="F9" s="32">
        <v>1.0</v>
      </c>
      <c r="G9" s="33">
        <v>4950.0</v>
      </c>
      <c r="H9" s="33">
        <v>11000.0</v>
      </c>
      <c r="I9" s="33">
        <f t="shared" si="3"/>
        <v>6050</v>
      </c>
      <c r="J9" s="38"/>
      <c r="K9" s="38"/>
      <c r="L9" s="38"/>
      <c r="M9" s="38"/>
    </row>
    <row r="10" ht="18.75" customHeight="1">
      <c r="A10" s="26">
        <v>7.0</v>
      </c>
      <c r="B10" s="69" t="s">
        <v>248</v>
      </c>
      <c r="C10" s="80" t="s">
        <v>163</v>
      </c>
      <c r="D10" s="31" t="s">
        <v>249</v>
      </c>
      <c r="E10" s="31" t="s">
        <v>250</v>
      </c>
      <c r="F10" s="32">
        <v>2.0</v>
      </c>
      <c r="G10" s="33">
        <v>5000.0</v>
      </c>
      <c r="H10" s="33">
        <v>9500.0</v>
      </c>
      <c r="I10" s="33">
        <f t="shared" si="3"/>
        <v>4500</v>
      </c>
      <c r="J10" s="38"/>
      <c r="K10" s="38"/>
      <c r="L10" s="38"/>
      <c r="M10" s="38"/>
      <c r="N10" s="83"/>
    </row>
    <row r="11" ht="18.75" customHeight="1">
      <c r="A11" s="26">
        <v>8.0</v>
      </c>
      <c r="B11" s="106" t="s">
        <v>251</v>
      </c>
      <c r="C11" s="80" t="s">
        <v>253</v>
      </c>
      <c r="D11" s="65" t="s">
        <v>214</v>
      </c>
      <c r="E11" s="65" t="s">
        <v>254</v>
      </c>
      <c r="F11" s="32">
        <v>1.0</v>
      </c>
      <c r="G11" s="33">
        <v>3450.0</v>
      </c>
      <c r="H11" s="33">
        <v>6750.0</v>
      </c>
      <c r="I11" s="33">
        <f t="shared" si="3"/>
        <v>3300</v>
      </c>
      <c r="J11" s="38"/>
      <c r="K11" s="38"/>
      <c r="L11" s="38"/>
      <c r="M11" s="38"/>
      <c r="N11" s="83"/>
    </row>
    <row r="12" ht="18.75" customHeight="1">
      <c r="A12" s="26">
        <v>9.0</v>
      </c>
      <c r="B12" s="47"/>
      <c r="C12" s="80" t="s">
        <v>258</v>
      </c>
      <c r="D12" s="47"/>
      <c r="E12" s="47"/>
      <c r="F12" s="32">
        <v>1.0</v>
      </c>
      <c r="G12" s="33">
        <v>5100.0</v>
      </c>
      <c r="H12" s="33">
        <v>9450.0</v>
      </c>
      <c r="I12" s="33">
        <f t="shared" si="3"/>
        <v>4350</v>
      </c>
      <c r="J12" s="38"/>
      <c r="K12" s="38"/>
      <c r="L12" s="38"/>
      <c r="M12" s="38"/>
    </row>
    <row r="13" ht="18.75" customHeight="1">
      <c r="A13" s="26">
        <v>10.0</v>
      </c>
      <c r="B13" s="31" t="s">
        <v>261</v>
      </c>
      <c r="C13" s="80" t="s">
        <v>262</v>
      </c>
      <c r="D13" s="31" t="s">
        <v>249</v>
      </c>
      <c r="E13" s="31" t="s">
        <v>78</v>
      </c>
      <c r="F13" s="32">
        <v>1.0</v>
      </c>
      <c r="G13" s="33">
        <v>1800.0</v>
      </c>
      <c r="H13" s="33">
        <v>3000.0</v>
      </c>
      <c r="I13" s="33">
        <f t="shared" si="3"/>
        <v>1200</v>
      </c>
      <c r="J13" s="38"/>
      <c r="K13" s="38"/>
      <c r="L13" s="38"/>
      <c r="M13" s="38"/>
    </row>
    <row r="14" ht="18.75" customHeight="1">
      <c r="A14" s="26">
        <v>11.0</v>
      </c>
      <c r="B14" s="111">
        <v>45139.0</v>
      </c>
      <c r="C14" s="80" t="s">
        <v>192</v>
      </c>
      <c r="D14" s="112" t="s">
        <v>100</v>
      </c>
      <c r="E14" s="112" t="s">
        <v>23</v>
      </c>
      <c r="F14" s="32">
        <v>1.0</v>
      </c>
      <c r="G14" s="33">
        <v>2400.0</v>
      </c>
      <c r="H14" s="33">
        <v>6750.0</v>
      </c>
      <c r="I14" s="33">
        <f t="shared" si="3"/>
        <v>4350</v>
      </c>
      <c r="J14" s="38"/>
      <c r="K14" s="38"/>
      <c r="L14" s="38"/>
      <c r="M14" s="38"/>
      <c r="N14" s="83"/>
    </row>
    <row r="15" ht="18.75" customHeight="1">
      <c r="A15" s="26">
        <v>12.0</v>
      </c>
      <c r="B15" s="113">
        <v>45143.0</v>
      </c>
      <c r="C15" s="80" t="s">
        <v>169</v>
      </c>
      <c r="D15" s="112" t="s">
        <v>173</v>
      </c>
      <c r="E15" s="112" t="s">
        <v>61</v>
      </c>
      <c r="F15" s="32">
        <v>1.0</v>
      </c>
      <c r="G15" s="33">
        <v>5000.0</v>
      </c>
      <c r="H15" s="33">
        <v>11250.0</v>
      </c>
      <c r="I15" s="33">
        <f t="shared" si="3"/>
        <v>6250</v>
      </c>
      <c r="J15" s="38"/>
      <c r="K15" s="38"/>
      <c r="L15" s="38"/>
      <c r="M15" s="38"/>
    </row>
    <row r="16" ht="18.75" customHeight="1">
      <c r="A16" s="26">
        <v>13.0</v>
      </c>
      <c r="B16" s="30"/>
      <c r="C16" s="80"/>
      <c r="D16" s="112"/>
      <c r="E16" s="112"/>
      <c r="F16" s="32"/>
      <c r="G16" s="33"/>
      <c r="H16" s="33"/>
      <c r="I16" s="33">
        <f t="shared" si="3"/>
        <v>0</v>
      </c>
      <c r="J16" s="38"/>
      <c r="K16" s="38"/>
      <c r="L16" s="38"/>
      <c r="M16" s="38"/>
    </row>
    <row r="17" ht="18.75" customHeight="1">
      <c r="A17" s="26">
        <v>14.0</v>
      </c>
      <c r="B17" s="30"/>
      <c r="C17" s="86"/>
      <c r="D17" s="69"/>
      <c r="E17" s="69"/>
      <c r="F17" s="32"/>
      <c r="G17" s="70"/>
      <c r="H17" s="33"/>
      <c r="I17" s="33">
        <f t="shared" si="3"/>
        <v>0</v>
      </c>
      <c r="J17" s="38"/>
      <c r="K17" s="38"/>
      <c r="L17" s="38"/>
      <c r="M17" s="38"/>
      <c r="N17" s="83"/>
    </row>
    <row r="18" ht="18.75" customHeight="1">
      <c r="A18" s="26">
        <v>15.0</v>
      </c>
      <c r="B18" s="30"/>
      <c r="C18" s="86"/>
      <c r="D18" s="31"/>
      <c r="E18" s="31"/>
      <c r="F18" s="32"/>
      <c r="G18" s="33"/>
      <c r="H18" s="33"/>
      <c r="I18" s="33">
        <f t="shared" si="3"/>
        <v>0</v>
      </c>
      <c r="J18" s="38"/>
      <c r="K18" s="38"/>
      <c r="L18" s="38"/>
      <c r="M18" s="38"/>
      <c r="N18" s="83"/>
    </row>
    <row r="19" ht="18.75" customHeight="1">
      <c r="A19" s="26">
        <v>16.0</v>
      </c>
      <c r="B19" s="30"/>
      <c r="C19" s="86"/>
      <c r="D19" s="69"/>
      <c r="E19" s="69"/>
      <c r="F19" s="32"/>
      <c r="G19" s="33"/>
      <c r="H19" s="33"/>
      <c r="I19" s="33">
        <f t="shared" si="3"/>
        <v>0</v>
      </c>
      <c r="J19" s="38"/>
      <c r="K19" s="38"/>
      <c r="L19" s="38"/>
      <c r="M19" s="38"/>
      <c r="N19" s="83"/>
    </row>
    <row r="20" ht="18.75" customHeight="1">
      <c r="A20" s="26">
        <v>17.0</v>
      </c>
      <c r="B20" s="30"/>
      <c r="C20" s="86"/>
      <c r="D20" s="69"/>
      <c r="E20" s="69"/>
      <c r="F20" s="32"/>
      <c r="G20" s="70"/>
      <c r="H20" s="33"/>
      <c r="I20" s="33">
        <f t="shared" si="3"/>
        <v>0</v>
      </c>
      <c r="J20" s="38"/>
      <c r="K20" s="38"/>
      <c r="L20" s="38"/>
      <c r="M20" s="38"/>
    </row>
    <row r="21" ht="18.75" customHeight="1">
      <c r="A21" s="26">
        <v>18.0</v>
      </c>
      <c r="B21" s="30"/>
      <c r="C21" s="86"/>
      <c r="D21" s="69"/>
      <c r="E21" s="69"/>
      <c r="F21" s="32"/>
      <c r="G21" s="70"/>
      <c r="H21" s="33"/>
      <c r="I21" s="33">
        <f t="shared" si="3"/>
        <v>0</v>
      </c>
      <c r="J21" s="38"/>
      <c r="K21" s="38"/>
      <c r="L21" s="38"/>
      <c r="M21" s="38"/>
    </row>
    <row r="22" ht="18.75" customHeight="1">
      <c r="A22" s="26">
        <v>19.0</v>
      </c>
      <c r="B22" s="30"/>
      <c r="C22" s="86"/>
      <c r="D22" s="31"/>
      <c r="E22" s="31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26">
        <v>20.0</v>
      </c>
      <c r="B23" s="30"/>
      <c r="C23" s="86"/>
      <c r="D23" s="31"/>
      <c r="E23" s="31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26">
        <v>21.0</v>
      </c>
      <c r="B24" s="30"/>
      <c r="C24" s="86"/>
      <c r="D24" s="31"/>
      <c r="E24" s="31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26">
        <v>22.0</v>
      </c>
      <c r="B25" s="30"/>
      <c r="C25" s="86"/>
      <c r="D25" s="31"/>
      <c r="E25" s="31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26">
        <v>23.0</v>
      </c>
      <c r="B26" s="30"/>
      <c r="C26" s="86"/>
      <c r="D26" s="31"/>
      <c r="E26" s="31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26">
        <v>24.0</v>
      </c>
      <c r="B27" s="30"/>
      <c r="C27" s="86"/>
      <c r="D27" s="31"/>
      <c r="E27" s="31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26">
        <v>25.0</v>
      </c>
      <c r="B28" s="30"/>
      <c r="C28" s="86"/>
      <c r="D28" s="31"/>
      <c r="E28" s="31"/>
      <c r="F28" s="32"/>
      <c r="G28" s="33"/>
      <c r="H28" s="33"/>
      <c r="I28" s="33">
        <f t="shared" si="3"/>
        <v>0</v>
      </c>
      <c r="J28" s="38"/>
      <c r="K28" s="38"/>
      <c r="L28" s="38"/>
      <c r="M28" s="38"/>
    </row>
    <row r="29" ht="18.75" customHeight="1">
      <c r="A29" s="26">
        <v>26.0</v>
      </c>
      <c r="B29" s="30"/>
      <c r="C29" s="86"/>
      <c r="D29" s="31"/>
      <c r="E29" s="31"/>
      <c r="F29" s="32"/>
      <c r="G29" s="33"/>
      <c r="H29" s="33"/>
      <c r="I29" s="33">
        <f t="shared" si="3"/>
        <v>0</v>
      </c>
      <c r="J29" s="38"/>
      <c r="K29" s="38"/>
      <c r="L29" s="38"/>
      <c r="M29" s="38"/>
    </row>
    <row r="30" ht="18.75" customHeight="1">
      <c r="A30" s="26">
        <v>27.0</v>
      </c>
      <c r="B30" s="30"/>
      <c r="C30" s="86"/>
      <c r="D30" s="31"/>
      <c r="E30" s="31"/>
      <c r="F30" s="32"/>
      <c r="G30" s="33"/>
      <c r="H30" s="33"/>
      <c r="I30" s="33">
        <f t="shared" si="3"/>
        <v>0</v>
      </c>
      <c r="J30" s="47"/>
      <c r="K30" s="47"/>
      <c r="L30" s="47"/>
      <c r="M30" s="47"/>
    </row>
    <row r="31" ht="18.75" customHeight="1">
      <c r="A31" s="72"/>
      <c r="B31" s="73"/>
      <c r="C31" s="87"/>
      <c r="D31" s="74"/>
      <c r="E31" s="74"/>
      <c r="F31" s="77">
        <f>SUM(F4:F30)</f>
        <v>13</v>
      </c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M2"/>
    <mergeCell ref="J4:J30"/>
    <mergeCell ref="K4:K30"/>
    <mergeCell ref="L4:L30"/>
    <mergeCell ref="M4:M30"/>
    <mergeCell ref="B11:B12"/>
    <mergeCell ref="D11:D12"/>
    <mergeCell ref="E11:E1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78" t="s">
        <v>4</v>
      </c>
      <c r="D3" s="16" t="s">
        <v>5</v>
      </c>
      <c r="E3" s="16" t="s">
        <v>6</v>
      </c>
      <c r="F3" s="114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v>1.0</v>
      </c>
      <c r="B4" s="79">
        <v>45149.0</v>
      </c>
      <c r="C4" s="80" t="s">
        <v>218</v>
      </c>
      <c r="D4" s="81" t="s">
        <v>77</v>
      </c>
      <c r="E4" s="31"/>
      <c r="F4" s="32">
        <v>1.0</v>
      </c>
      <c r="G4" s="33">
        <v>1550.0</v>
      </c>
      <c r="H4" s="33">
        <v>2700.0</v>
      </c>
      <c r="I4" s="33">
        <f t="shared" ref="I4:I30" si="3">H4-G4</f>
        <v>1150</v>
      </c>
      <c r="J4" s="19">
        <f t="shared" ref="J4:K4" si="1">SUM(H4:H42)</f>
        <v>50350</v>
      </c>
      <c r="K4" s="37">
        <f t="shared" si="1"/>
        <v>24650</v>
      </c>
      <c r="L4" s="39">
        <f t="shared" ref="L4:M4" si="2">J4/2</f>
        <v>25175</v>
      </c>
      <c r="M4" s="41">
        <f t="shared" si="2"/>
        <v>12325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v>2.0</v>
      </c>
      <c r="B5" s="79">
        <v>45154.0</v>
      </c>
      <c r="C5" s="80" t="s">
        <v>264</v>
      </c>
      <c r="D5" s="81" t="s">
        <v>265</v>
      </c>
      <c r="E5" s="31" t="s">
        <v>266</v>
      </c>
      <c r="F5" s="32">
        <v>1.0</v>
      </c>
      <c r="G5" s="33">
        <v>1800.0</v>
      </c>
      <c r="H5" s="33">
        <v>3800.0</v>
      </c>
      <c r="I5" s="33">
        <f t="shared" si="3"/>
        <v>2000</v>
      </c>
      <c r="J5" s="38"/>
      <c r="K5" s="38"/>
      <c r="L5" s="38"/>
      <c r="M5" s="38"/>
    </row>
    <row r="6" ht="18.75" customHeight="1">
      <c r="A6" s="26">
        <v>3.0</v>
      </c>
      <c r="B6" s="79">
        <v>45152.0</v>
      </c>
      <c r="C6" s="80" t="s">
        <v>82</v>
      </c>
      <c r="D6" s="81" t="s">
        <v>267</v>
      </c>
      <c r="E6" s="31" t="s">
        <v>269</v>
      </c>
      <c r="F6" s="32">
        <v>1.0</v>
      </c>
      <c r="G6" s="33">
        <v>2500.0</v>
      </c>
      <c r="H6" s="33">
        <v>4500.0</v>
      </c>
      <c r="I6" s="33">
        <f t="shared" si="3"/>
        <v>2000</v>
      </c>
      <c r="J6" s="38"/>
      <c r="K6" s="38"/>
      <c r="L6" s="38"/>
      <c r="M6" s="38"/>
      <c r="N6" s="57"/>
    </row>
    <row r="7" ht="18.75" customHeight="1">
      <c r="A7" s="26">
        <v>4.0</v>
      </c>
      <c r="B7" s="64">
        <v>45167.0</v>
      </c>
      <c r="C7" s="80" t="s">
        <v>82</v>
      </c>
      <c r="D7" s="65" t="s">
        <v>271</v>
      </c>
      <c r="E7" s="65" t="s">
        <v>134</v>
      </c>
      <c r="F7" s="32">
        <v>1.0</v>
      </c>
      <c r="G7" s="33">
        <v>2500.0</v>
      </c>
      <c r="H7" s="33">
        <v>5000.0</v>
      </c>
      <c r="I7" s="33">
        <f t="shared" si="3"/>
        <v>2500</v>
      </c>
      <c r="J7" s="38"/>
      <c r="K7" s="38"/>
      <c r="L7" s="38"/>
      <c r="M7" s="38"/>
    </row>
    <row r="8" ht="18.75" customHeight="1">
      <c r="A8" s="26">
        <v>5.0</v>
      </c>
      <c r="B8" s="88">
        <v>45167.0</v>
      </c>
      <c r="C8" s="80" t="s">
        <v>272</v>
      </c>
      <c r="D8" s="89" t="s">
        <v>64</v>
      </c>
      <c r="E8" s="89" t="s">
        <v>93</v>
      </c>
      <c r="F8" s="32">
        <v>1.0</v>
      </c>
      <c r="G8" s="33">
        <v>8300.0</v>
      </c>
      <c r="H8" s="33">
        <v>15000.0</v>
      </c>
      <c r="I8" s="33">
        <f t="shared" si="3"/>
        <v>6700</v>
      </c>
      <c r="J8" s="38"/>
      <c r="K8" s="38"/>
      <c r="L8" s="38"/>
      <c r="M8" s="38"/>
      <c r="N8" s="83"/>
    </row>
    <row r="9" ht="18.75" customHeight="1">
      <c r="A9" s="26">
        <v>6.0</v>
      </c>
      <c r="B9" s="79">
        <v>45166.0</v>
      </c>
      <c r="C9" s="80" t="s">
        <v>277</v>
      </c>
      <c r="D9" s="81" t="s">
        <v>109</v>
      </c>
      <c r="E9" s="31" t="s">
        <v>31</v>
      </c>
      <c r="F9" s="32">
        <v>1.0</v>
      </c>
      <c r="G9" s="33">
        <v>750.0</v>
      </c>
      <c r="H9" s="33">
        <v>1800.0</v>
      </c>
      <c r="I9" s="33">
        <f t="shared" si="3"/>
        <v>1050</v>
      </c>
      <c r="J9" s="38"/>
      <c r="K9" s="38"/>
      <c r="L9" s="38"/>
      <c r="M9" s="38"/>
    </row>
    <row r="10" ht="18.75" customHeight="1">
      <c r="A10" s="26">
        <v>7.0</v>
      </c>
      <c r="B10" s="79">
        <v>45173.0</v>
      </c>
      <c r="C10" s="80" t="s">
        <v>137</v>
      </c>
      <c r="D10" s="81" t="s">
        <v>36</v>
      </c>
      <c r="E10" s="31" t="s">
        <v>278</v>
      </c>
      <c r="F10" s="32">
        <v>1.0</v>
      </c>
      <c r="G10" s="33">
        <v>3550.0</v>
      </c>
      <c r="H10" s="33">
        <v>7650.0</v>
      </c>
      <c r="I10" s="33">
        <f t="shared" si="3"/>
        <v>4100</v>
      </c>
      <c r="J10" s="38"/>
      <c r="K10" s="38"/>
      <c r="L10" s="38"/>
      <c r="M10" s="38"/>
      <c r="N10" s="83"/>
    </row>
    <row r="11" ht="18.75" customHeight="1">
      <c r="A11" s="26">
        <v>8.0</v>
      </c>
      <c r="B11" s="102">
        <v>45172.0</v>
      </c>
      <c r="C11" s="80" t="s">
        <v>280</v>
      </c>
      <c r="D11" s="65" t="s">
        <v>281</v>
      </c>
      <c r="E11" s="65" t="s">
        <v>282</v>
      </c>
      <c r="F11" s="32">
        <v>1.0</v>
      </c>
      <c r="G11" s="33">
        <v>2350.0</v>
      </c>
      <c r="H11" s="33">
        <v>4500.0</v>
      </c>
      <c r="I11" s="33">
        <f t="shared" si="3"/>
        <v>2150</v>
      </c>
      <c r="J11" s="38"/>
      <c r="K11" s="38"/>
      <c r="L11" s="38"/>
      <c r="M11" s="38"/>
      <c r="N11" s="83"/>
    </row>
    <row r="12" ht="18.75" customHeight="1">
      <c r="A12" s="26">
        <v>9.0</v>
      </c>
      <c r="B12" s="103">
        <v>45174.0</v>
      </c>
      <c r="C12" s="80" t="s">
        <v>19</v>
      </c>
      <c r="D12" s="91" t="s">
        <v>113</v>
      </c>
      <c r="E12" s="91" t="s">
        <v>284</v>
      </c>
      <c r="F12" s="32">
        <v>1.0</v>
      </c>
      <c r="G12" s="33">
        <v>2400.0</v>
      </c>
      <c r="H12" s="33">
        <v>5400.0</v>
      </c>
      <c r="I12" s="33">
        <f t="shared" si="3"/>
        <v>3000</v>
      </c>
      <c r="J12" s="38"/>
      <c r="K12" s="38"/>
      <c r="L12" s="38"/>
      <c r="M12" s="38"/>
    </row>
    <row r="13" ht="18.75" customHeight="1">
      <c r="A13" s="26">
        <v>10.0</v>
      </c>
      <c r="B13" s="90"/>
      <c r="C13" s="80"/>
      <c r="D13" s="65"/>
      <c r="E13" s="65"/>
      <c r="F13" s="32"/>
      <c r="G13" s="33"/>
      <c r="H13" s="33"/>
      <c r="I13" s="33">
        <f t="shared" si="3"/>
        <v>0</v>
      </c>
      <c r="J13" s="38"/>
      <c r="K13" s="38"/>
      <c r="L13" s="38"/>
      <c r="M13" s="38"/>
    </row>
    <row r="14" ht="18.75" customHeight="1">
      <c r="A14" s="26">
        <v>11.0</v>
      </c>
      <c r="B14" s="117"/>
      <c r="C14" s="80"/>
      <c r="D14" s="117"/>
      <c r="E14" s="117"/>
      <c r="F14" s="32"/>
      <c r="G14" s="33"/>
      <c r="H14" s="33"/>
      <c r="I14" s="33">
        <f t="shared" si="3"/>
        <v>0</v>
      </c>
      <c r="J14" s="38"/>
      <c r="K14" s="38"/>
      <c r="L14" s="38"/>
      <c r="M14" s="38"/>
      <c r="N14" s="83"/>
    </row>
    <row r="15" ht="18.75" customHeight="1">
      <c r="A15" s="26">
        <v>12.0</v>
      </c>
      <c r="B15" s="91"/>
      <c r="C15" s="80"/>
      <c r="D15" s="117"/>
      <c r="E15" s="117"/>
      <c r="F15" s="32"/>
      <c r="G15" s="33"/>
      <c r="H15" s="33"/>
      <c r="I15" s="33">
        <f t="shared" si="3"/>
        <v>0</v>
      </c>
      <c r="J15" s="38"/>
      <c r="K15" s="38"/>
      <c r="L15" s="38"/>
      <c r="M15" s="38"/>
    </row>
    <row r="16" ht="18.75" customHeight="1">
      <c r="A16" s="26">
        <v>13.0</v>
      </c>
      <c r="B16" s="79"/>
      <c r="C16" s="80"/>
      <c r="D16" s="91"/>
      <c r="E16" s="91"/>
      <c r="F16" s="32"/>
      <c r="G16" s="33"/>
      <c r="H16" s="33"/>
      <c r="I16" s="33">
        <f t="shared" si="3"/>
        <v>0</v>
      </c>
      <c r="J16" s="38"/>
      <c r="K16" s="38"/>
      <c r="L16" s="38"/>
      <c r="M16" s="38"/>
    </row>
    <row r="17" ht="18.75" customHeight="1">
      <c r="A17" s="26">
        <v>14.0</v>
      </c>
      <c r="B17" s="30"/>
      <c r="C17" s="85"/>
      <c r="D17" s="69"/>
      <c r="E17" s="69"/>
      <c r="F17" s="32"/>
      <c r="G17" s="70"/>
      <c r="H17" s="33"/>
      <c r="I17" s="33">
        <f t="shared" si="3"/>
        <v>0</v>
      </c>
      <c r="J17" s="38"/>
      <c r="K17" s="38"/>
      <c r="L17" s="38"/>
      <c r="M17" s="38"/>
      <c r="N17" s="83"/>
    </row>
    <row r="18" ht="18.75" customHeight="1">
      <c r="A18" s="26">
        <v>15.0</v>
      </c>
      <c r="B18" s="30"/>
      <c r="C18" s="86"/>
      <c r="D18" s="31"/>
      <c r="E18" s="31"/>
      <c r="F18" s="32"/>
      <c r="G18" s="33"/>
      <c r="H18" s="33"/>
      <c r="I18" s="33">
        <f t="shared" si="3"/>
        <v>0</v>
      </c>
      <c r="J18" s="38"/>
      <c r="K18" s="38"/>
      <c r="L18" s="38"/>
      <c r="M18" s="38"/>
      <c r="N18" s="83"/>
    </row>
    <row r="19" ht="18.75" customHeight="1">
      <c r="A19" s="26">
        <v>16.0</v>
      </c>
      <c r="B19" s="64"/>
      <c r="C19" s="86"/>
      <c r="D19" s="67"/>
      <c r="E19" s="67"/>
      <c r="F19" s="32"/>
      <c r="G19" s="33"/>
      <c r="H19" s="33"/>
      <c r="I19" s="33">
        <f t="shared" si="3"/>
        <v>0</v>
      </c>
      <c r="J19" s="38"/>
      <c r="K19" s="38"/>
      <c r="L19" s="38"/>
      <c r="M19" s="38"/>
      <c r="N19" s="83"/>
    </row>
    <row r="20" ht="18.75" customHeight="1">
      <c r="A20" s="26">
        <v>17.0</v>
      </c>
      <c r="B20" s="107"/>
      <c r="C20" s="86"/>
      <c r="D20" s="108"/>
      <c r="E20" s="108"/>
      <c r="F20" s="32"/>
      <c r="G20" s="70"/>
      <c r="H20" s="33"/>
      <c r="I20" s="33">
        <f t="shared" si="3"/>
        <v>0</v>
      </c>
      <c r="J20" s="38"/>
      <c r="K20" s="38"/>
      <c r="L20" s="38"/>
      <c r="M20" s="38"/>
    </row>
    <row r="21" ht="18.75" customHeight="1">
      <c r="A21" s="26">
        <v>18.0</v>
      </c>
      <c r="B21" s="109"/>
      <c r="C21" s="86"/>
      <c r="D21" s="110"/>
      <c r="E21" s="110"/>
      <c r="F21" s="32"/>
      <c r="G21" s="70"/>
      <c r="H21" s="33"/>
      <c r="I21" s="33">
        <f t="shared" si="3"/>
        <v>0</v>
      </c>
      <c r="J21" s="38"/>
      <c r="K21" s="38"/>
      <c r="L21" s="38"/>
      <c r="M21" s="38"/>
    </row>
    <row r="22" ht="18.75" customHeight="1">
      <c r="A22" s="26">
        <v>19.0</v>
      </c>
      <c r="B22" s="30"/>
      <c r="C22" s="86"/>
      <c r="D22" s="31"/>
      <c r="E22" s="31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26">
        <v>20.0</v>
      </c>
      <c r="B23" s="30"/>
      <c r="C23" s="86"/>
      <c r="D23" s="31"/>
      <c r="E23" s="31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26">
        <v>21.0</v>
      </c>
      <c r="B24" s="30"/>
      <c r="C24" s="86"/>
      <c r="D24" s="31"/>
      <c r="E24" s="31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26">
        <v>22.0</v>
      </c>
      <c r="B25" s="30"/>
      <c r="C25" s="86"/>
      <c r="D25" s="31"/>
      <c r="E25" s="31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26">
        <v>23.0</v>
      </c>
      <c r="B26" s="30"/>
      <c r="C26" s="86"/>
      <c r="D26" s="31"/>
      <c r="E26" s="31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26">
        <v>24.0</v>
      </c>
      <c r="B27" s="30"/>
      <c r="C27" s="86"/>
      <c r="D27" s="31"/>
      <c r="E27" s="31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26">
        <v>25.0</v>
      </c>
      <c r="B28" s="30"/>
      <c r="C28" s="86"/>
      <c r="D28" s="31"/>
      <c r="E28" s="31"/>
      <c r="F28" s="32"/>
      <c r="G28" s="33"/>
      <c r="H28" s="33"/>
      <c r="I28" s="33">
        <f t="shared" si="3"/>
        <v>0</v>
      </c>
      <c r="J28" s="38"/>
      <c r="K28" s="38"/>
      <c r="L28" s="38"/>
      <c r="M28" s="38"/>
    </row>
    <row r="29" ht="18.75" customHeight="1">
      <c r="A29" s="26">
        <v>26.0</v>
      </c>
      <c r="B29" s="30"/>
      <c r="C29" s="86"/>
      <c r="D29" s="31"/>
      <c r="E29" s="31"/>
      <c r="F29" s="32"/>
      <c r="G29" s="33"/>
      <c r="H29" s="33"/>
      <c r="I29" s="33">
        <f t="shared" si="3"/>
        <v>0</v>
      </c>
      <c r="J29" s="38"/>
      <c r="K29" s="38"/>
      <c r="L29" s="38"/>
      <c r="M29" s="38"/>
    </row>
    <row r="30" ht="18.75" customHeight="1">
      <c r="A30" s="26">
        <v>27.0</v>
      </c>
      <c r="B30" s="30"/>
      <c r="C30" s="86"/>
      <c r="D30" s="31"/>
      <c r="E30" s="31"/>
      <c r="F30" s="32"/>
      <c r="G30" s="33"/>
      <c r="H30" s="33"/>
      <c r="I30" s="33">
        <f t="shared" si="3"/>
        <v>0</v>
      </c>
      <c r="J30" s="47"/>
      <c r="K30" s="47"/>
      <c r="L30" s="47"/>
      <c r="M30" s="47"/>
    </row>
    <row r="31" ht="18.75" customHeight="1">
      <c r="A31" s="72"/>
      <c r="B31" s="73"/>
      <c r="C31" s="87"/>
      <c r="D31" s="74"/>
      <c r="E31" s="74"/>
      <c r="F31" s="118">
        <f>SUM(F4:F30)</f>
        <v>9</v>
      </c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M2"/>
    <mergeCell ref="J4:J30"/>
    <mergeCell ref="K4:K30"/>
    <mergeCell ref="L4:L30"/>
    <mergeCell ref="M4:M30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3" t="s">
        <v>2</v>
      </c>
      <c r="B3" s="14" t="s">
        <v>3</v>
      </c>
      <c r="C3" s="78" t="s">
        <v>4</v>
      </c>
      <c r="D3" s="16" t="s">
        <v>5</v>
      </c>
      <c r="E3" s="16" t="s">
        <v>6</v>
      </c>
      <c r="F3" s="114" t="s">
        <v>7</v>
      </c>
      <c r="G3" s="19" t="s">
        <v>8</v>
      </c>
      <c r="H3" s="19" t="s">
        <v>9</v>
      </c>
      <c r="I3" s="1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26">
        <v>1.0</v>
      </c>
      <c r="B4" s="79">
        <v>45191.0</v>
      </c>
      <c r="C4" s="80" t="s">
        <v>268</v>
      </c>
      <c r="D4" s="81" t="s">
        <v>72</v>
      </c>
      <c r="E4" s="31" t="s">
        <v>270</v>
      </c>
      <c r="F4" s="32">
        <v>1.0</v>
      </c>
      <c r="G4" s="33">
        <v>600.0</v>
      </c>
      <c r="H4" s="33">
        <v>2000.0</v>
      </c>
      <c r="I4" s="33">
        <f t="shared" ref="I4:I30" si="3">H4-G4</f>
        <v>1400</v>
      </c>
      <c r="J4" s="19">
        <f t="shared" ref="J4:K4" si="1">SUM(H4:H42)</f>
        <v>30900</v>
      </c>
      <c r="K4" s="37">
        <f t="shared" si="1"/>
        <v>14300</v>
      </c>
      <c r="L4" s="39">
        <f t="shared" ref="L4:M4" si="2">J4/2</f>
        <v>15450</v>
      </c>
      <c r="M4" s="41">
        <f t="shared" si="2"/>
        <v>7150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26">
        <v>2.0</v>
      </c>
      <c r="B5" s="79">
        <v>45197.0</v>
      </c>
      <c r="C5" s="80" t="s">
        <v>273</v>
      </c>
      <c r="D5" s="81" t="s">
        <v>274</v>
      </c>
      <c r="E5" s="31" t="s">
        <v>106</v>
      </c>
      <c r="F5" s="32">
        <v>1.0</v>
      </c>
      <c r="G5" s="33">
        <v>3000.0</v>
      </c>
      <c r="H5" s="33">
        <v>4900.0</v>
      </c>
      <c r="I5" s="33">
        <f t="shared" si="3"/>
        <v>1900</v>
      </c>
      <c r="J5" s="38"/>
      <c r="K5" s="38"/>
      <c r="L5" s="38"/>
      <c r="M5" s="38"/>
    </row>
    <row r="6" ht="18.75" customHeight="1">
      <c r="A6" s="26">
        <v>3.0</v>
      </c>
      <c r="B6" s="79">
        <v>45204.0</v>
      </c>
      <c r="C6" s="80" t="s">
        <v>172</v>
      </c>
      <c r="D6" s="81" t="s">
        <v>275</v>
      </c>
      <c r="E6" s="31" t="s">
        <v>276</v>
      </c>
      <c r="F6" s="32">
        <v>1.0</v>
      </c>
      <c r="G6" s="33">
        <v>1800.0</v>
      </c>
      <c r="H6" s="33">
        <v>3600.0</v>
      </c>
      <c r="I6" s="33">
        <f t="shared" si="3"/>
        <v>1800</v>
      </c>
      <c r="J6" s="38"/>
      <c r="K6" s="38"/>
      <c r="L6" s="38"/>
      <c r="M6" s="38"/>
      <c r="N6" s="57"/>
    </row>
    <row r="7" ht="18.75" customHeight="1">
      <c r="A7" s="26">
        <v>4.0</v>
      </c>
      <c r="B7" s="64">
        <v>45205.0</v>
      </c>
      <c r="C7" s="80" t="s">
        <v>273</v>
      </c>
      <c r="D7" s="65" t="s">
        <v>91</v>
      </c>
      <c r="E7" s="65" t="s">
        <v>61</v>
      </c>
      <c r="F7" s="32">
        <v>1.0</v>
      </c>
      <c r="G7" s="33">
        <v>3000.0</v>
      </c>
      <c r="H7" s="33">
        <v>4700.0</v>
      </c>
      <c r="I7" s="33">
        <f t="shared" si="3"/>
        <v>1700</v>
      </c>
      <c r="J7" s="38"/>
      <c r="K7" s="38"/>
      <c r="L7" s="38"/>
      <c r="M7" s="38"/>
    </row>
    <row r="8" ht="18.75" customHeight="1">
      <c r="A8" s="26">
        <v>5.0</v>
      </c>
      <c r="B8" s="115">
        <v>45205.0</v>
      </c>
      <c r="C8" s="80" t="s">
        <v>279</v>
      </c>
      <c r="D8" s="116" t="s">
        <v>50</v>
      </c>
      <c r="E8" s="116" t="s">
        <v>28</v>
      </c>
      <c r="F8" s="32">
        <v>1.0</v>
      </c>
      <c r="G8" s="33">
        <v>4950.0</v>
      </c>
      <c r="H8" s="33">
        <v>9900.0</v>
      </c>
      <c r="I8" s="33">
        <f t="shared" si="3"/>
        <v>4950</v>
      </c>
      <c r="J8" s="38"/>
      <c r="K8" s="38"/>
      <c r="L8" s="38"/>
      <c r="M8" s="38"/>
      <c r="N8" s="83"/>
    </row>
    <row r="9" ht="18.75" customHeight="1">
      <c r="A9" s="26">
        <v>6.0</v>
      </c>
      <c r="B9" s="47"/>
      <c r="C9" s="80" t="s">
        <v>277</v>
      </c>
      <c r="D9" s="47"/>
      <c r="E9" s="47"/>
      <c r="F9" s="32">
        <v>1.0</v>
      </c>
      <c r="G9" s="33">
        <v>750.0</v>
      </c>
      <c r="H9" s="33">
        <v>1000.0</v>
      </c>
      <c r="I9" s="33">
        <f t="shared" si="3"/>
        <v>250</v>
      </c>
      <c r="J9" s="38"/>
      <c r="K9" s="38"/>
      <c r="L9" s="38"/>
      <c r="M9" s="38"/>
    </row>
    <row r="10" ht="18.75" customHeight="1">
      <c r="A10" s="26">
        <v>7.0</v>
      </c>
      <c r="B10" s="79">
        <v>45206.0</v>
      </c>
      <c r="C10" s="80" t="s">
        <v>224</v>
      </c>
      <c r="D10" s="81" t="s">
        <v>50</v>
      </c>
      <c r="E10" s="31" t="s">
        <v>283</v>
      </c>
      <c r="F10" s="32">
        <v>1.0</v>
      </c>
      <c r="G10" s="33">
        <v>2500.0</v>
      </c>
      <c r="H10" s="33">
        <v>4800.0</v>
      </c>
      <c r="I10" s="33">
        <f t="shared" si="3"/>
        <v>2300</v>
      </c>
      <c r="J10" s="38"/>
      <c r="K10" s="38"/>
      <c r="L10" s="38"/>
      <c r="M10" s="38"/>
      <c r="N10" s="83"/>
    </row>
    <row r="11" ht="18.75" customHeight="1">
      <c r="A11" s="26">
        <v>8.0</v>
      </c>
      <c r="B11" s="102"/>
      <c r="C11" s="80"/>
      <c r="D11" s="65"/>
      <c r="E11" s="65"/>
      <c r="F11" s="32"/>
      <c r="G11" s="33"/>
      <c r="H11" s="33"/>
      <c r="I11" s="33">
        <f t="shared" si="3"/>
        <v>0</v>
      </c>
      <c r="J11" s="38"/>
      <c r="K11" s="38"/>
      <c r="L11" s="38"/>
      <c r="M11" s="38"/>
      <c r="N11" s="83"/>
    </row>
    <row r="12" ht="18.75" customHeight="1">
      <c r="A12" s="26">
        <v>9.0</v>
      </c>
      <c r="B12" s="103"/>
      <c r="C12" s="80"/>
      <c r="D12" s="91"/>
      <c r="E12" s="91"/>
      <c r="F12" s="32"/>
      <c r="G12" s="33"/>
      <c r="H12" s="33"/>
      <c r="I12" s="33">
        <f t="shared" si="3"/>
        <v>0</v>
      </c>
      <c r="J12" s="38"/>
      <c r="K12" s="38"/>
      <c r="L12" s="38"/>
      <c r="M12" s="38"/>
    </row>
    <row r="13" ht="18.75" customHeight="1">
      <c r="A13" s="26">
        <v>10.0</v>
      </c>
      <c r="B13" s="90"/>
      <c r="C13" s="80"/>
      <c r="D13" s="65"/>
      <c r="E13" s="65"/>
      <c r="F13" s="32"/>
      <c r="G13" s="33"/>
      <c r="H13" s="33"/>
      <c r="I13" s="33">
        <f t="shared" si="3"/>
        <v>0</v>
      </c>
      <c r="J13" s="38"/>
      <c r="K13" s="38"/>
      <c r="L13" s="38"/>
      <c r="M13" s="38"/>
    </row>
    <row r="14" ht="18.75" customHeight="1">
      <c r="A14" s="26">
        <v>11.0</v>
      </c>
      <c r="B14" s="117"/>
      <c r="C14" s="80"/>
      <c r="D14" s="117"/>
      <c r="E14" s="117"/>
      <c r="F14" s="32"/>
      <c r="G14" s="33"/>
      <c r="H14" s="33"/>
      <c r="I14" s="33">
        <f t="shared" si="3"/>
        <v>0</v>
      </c>
      <c r="J14" s="38"/>
      <c r="K14" s="38"/>
      <c r="L14" s="38"/>
      <c r="M14" s="38"/>
      <c r="N14" s="83"/>
    </row>
    <row r="15" ht="18.75" customHeight="1">
      <c r="A15" s="26">
        <v>12.0</v>
      </c>
      <c r="B15" s="91"/>
      <c r="C15" s="80"/>
      <c r="D15" s="117"/>
      <c r="E15" s="117"/>
      <c r="F15" s="32"/>
      <c r="G15" s="33"/>
      <c r="H15" s="33"/>
      <c r="I15" s="33">
        <f t="shared" si="3"/>
        <v>0</v>
      </c>
      <c r="J15" s="38"/>
      <c r="K15" s="38"/>
      <c r="L15" s="38"/>
      <c r="M15" s="38"/>
    </row>
    <row r="16" ht="18.75" customHeight="1">
      <c r="A16" s="26">
        <v>13.0</v>
      </c>
      <c r="B16" s="79"/>
      <c r="C16" s="80"/>
      <c r="D16" s="91"/>
      <c r="E16" s="91"/>
      <c r="F16" s="32"/>
      <c r="G16" s="33"/>
      <c r="H16" s="33"/>
      <c r="I16" s="33">
        <f t="shared" si="3"/>
        <v>0</v>
      </c>
      <c r="J16" s="38"/>
      <c r="K16" s="38"/>
      <c r="L16" s="38"/>
      <c r="M16" s="38"/>
    </row>
    <row r="17" ht="18.75" customHeight="1">
      <c r="A17" s="26">
        <v>14.0</v>
      </c>
      <c r="B17" s="30"/>
      <c r="C17" s="85"/>
      <c r="D17" s="69"/>
      <c r="E17" s="69"/>
      <c r="F17" s="32"/>
      <c r="G17" s="70"/>
      <c r="H17" s="33"/>
      <c r="I17" s="33">
        <f t="shared" si="3"/>
        <v>0</v>
      </c>
      <c r="J17" s="38"/>
      <c r="K17" s="38"/>
      <c r="L17" s="38"/>
      <c r="M17" s="38"/>
      <c r="N17" s="83"/>
    </row>
    <row r="18" ht="18.75" customHeight="1">
      <c r="A18" s="26">
        <v>15.0</v>
      </c>
      <c r="B18" s="30"/>
      <c r="C18" s="86"/>
      <c r="D18" s="31"/>
      <c r="E18" s="31"/>
      <c r="F18" s="32"/>
      <c r="G18" s="33"/>
      <c r="H18" s="33"/>
      <c r="I18" s="33">
        <f t="shared" si="3"/>
        <v>0</v>
      </c>
      <c r="J18" s="38"/>
      <c r="K18" s="38"/>
      <c r="L18" s="38"/>
      <c r="M18" s="38"/>
      <c r="N18" s="83"/>
    </row>
    <row r="19" ht="18.75" customHeight="1">
      <c r="A19" s="26">
        <v>16.0</v>
      </c>
      <c r="B19" s="64"/>
      <c r="C19" s="86"/>
      <c r="D19" s="67"/>
      <c r="E19" s="67"/>
      <c r="F19" s="32"/>
      <c r="G19" s="33"/>
      <c r="H19" s="33"/>
      <c r="I19" s="33">
        <f t="shared" si="3"/>
        <v>0</v>
      </c>
      <c r="J19" s="38"/>
      <c r="K19" s="38"/>
      <c r="L19" s="38"/>
      <c r="M19" s="38"/>
      <c r="N19" s="83"/>
    </row>
    <row r="20" ht="18.75" customHeight="1">
      <c r="A20" s="26">
        <v>17.0</v>
      </c>
      <c r="B20" s="107"/>
      <c r="C20" s="86"/>
      <c r="D20" s="108"/>
      <c r="E20" s="108"/>
      <c r="F20" s="32"/>
      <c r="G20" s="70"/>
      <c r="H20" s="33"/>
      <c r="I20" s="33">
        <f t="shared" si="3"/>
        <v>0</v>
      </c>
      <c r="J20" s="38"/>
      <c r="K20" s="38"/>
      <c r="L20" s="38"/>
      <c r="M20" s="38"/>
    </row>
    <row r="21" ht="18.75" customHeight="1">
      <c r="A21" s="26">
        <v>18.0</v>
      </c>
      <c r="B21" s="109"/>
      <c r="C21" s="86"/>
      <c r="D21" s="110"/>
      <c r="E21" s="110"/>
      <c r="F21" s="32"/>
      <c r="G21" s="70"/>
      <c r="H21" s="33"/>
      <c r="I21" s="33">
        <f t="shared" si="3"/>
        <v>0</v>
      </c>
      <c r="J21" s="38"/>
      <c r="K21" s="38"/>
      <c r="L21" s="38"/>
      <c r="M21" s="38"/>
    </row>
    <row r="22" ht="18.75" customHeight="1">
      <c r="A22" s="26">
        <v>19.0</v>
      </c>
      <c r="B22" s="30"/>
      <c r="C22" s="86"/>
      <c r="D22" s="31"/>
      <c r="E22" s="31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26">
        <v>20.0</v>
      </c>
      <c r="B23" s="30"/>
      <c r="C23" s="86"/>
      <c r="D23" s="31"/>
      <c r="E23" s="31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26">
        <v>21.0</v>
      </c>
      <c r="B24" s="30"/>
      <c r="C24" s="86"/>
      <c r="D24" s="31"/>
      <c r="E24" s="31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26">
        <v>22.0</v>
      </c>
      <c r="B25" s="30"/>
      <c r="C25" s="86"/>
      <c r="D25" s="31"/>
      <c r="E25" s="31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26">
        <v>23.0</v>
      </c>
      <c r="B26" s="30"/>
      <c r="C26" s="86"/>
      <c r="D26" s="31"/>
      <c r="E26" s="31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26">
        <v>24.0</v>
      </c>
      <c r="B27" s="30"/>
      <c r="C27" s="86"/>
      <c r="D27" s="31"/>
      <c r="E27" s="31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26">
        <v>25.0</v>
      </c>
      <c r="B28" s="30"/>
      <c r="C28" s="86"/>
      <c r="D28" s="31"/>
      <c r="E28" s="31"/>
      <c r="F28" s="32"/>
      <c r="G28" s="33"/>
      <c r="H28" s="33"/>
      <c r="I28" s="33">
        <f t="shared" si="3"/>
        <v>0</v>
      </c>
      <c r="J28" s="38"/>
      <c r="K28" s="38"/>
      <c r="L28" s="38"/>
      <c r="M28" s="38"/>
    </row>
    <row r="29" ht="18.75" customHeight="1">
      <c r="A29" s="26">
        <v>26.0</v>
      </c>
      <c r="B29" s="30"/>
      <c r="C29" s="86"/>
      <c r="D29" s="31"/>
      <c r="E29" s="31"/>
      <c r="F29" s="32"/>
      <c r="G29" s="33"/>
      <c r="H29" s="33"/>
      <c r="I29" s="33">
        <f t="shared" si="3"/>
        <v>0</v>
      </c>
      <c r="J29" s="38"/>
      <c r="K29" s="38"/>
      <c r="L29" s="38"/>
      <c r="M29" s="38"/>
    </row>
    <row r="30" ht="18.75" customHeight="1">
      <c r="A30" s="26">
        <v>27.0</v>
      </c>
      <c r="B30" s="30"/>
      <c r="C30" s="86"/>
      <c r="D30" s="31"/>
      <c r="E30" s="31"/>
      <c r="F30" s="32"/>
      <c r="G30" s="33"/>
      <c r="H30" s="33"/>
      <c r="I30" s="33">
        <f t="shared" si="3"/>
        <v>0</v>
      </c>
      <c r="J30" s="47"/>
      <c r="K30" s="47"/>
      <c r="L30" s="47"/>
      <c r="M30" s="47"/>
    </row>
    <row r="31" ht="18.75" customHeight="1">
      <c r="A31" s="72"/>
      <c r="B31" s="73"/>
      <c r="C31" s="87"/>
      <c r="D31" s="74"/>
      <c r="E31" s="74"/>
      <c r="F31" s="118">
        <f>SUM(F4:F30)</f>
        <v>7</v>
      </c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M2"/>
    <mergeCell ref="J4:J30"/>
    <mergeCell ref="K4:K30"/>
    <mergeCell ref="L4:L30"/>
    <mergeCell ref="M4:M30"/>
    <mergeCell ref="B8:B9"/>
    <mergeCell ref="D8:D9"/>
    <mergeCell ref="E8:E9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285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19" t="s">
        <v>2</v>
      </c>
      <c r="B3" s="97" t="s">
        <v>3</v>
      </c>
      <c r="C3" s="120" t="s">
        <v>4</v>
      </c>
      <c r="D3" s="23" t="s">
        <v>5</v>
      </c>
      <c r="E3" s="23" t="s">
        <v>6</v>
      </c>
      <c r="F3" s="100" t="s">
        <v>7</v>
      </c>
      <c r="G3" s="101" t="s">
        <v>8</v>
      </c>
      <c r="H3" s="101" t="s">
        <v>9</v>
      </c>
      <c r="I3" s="96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31">
        <v>1.0</v>
      </c>
      <c r="B4" s="121">
        <v>45208.0</v>
      </c>
      <c r="C4" s="80" t="s">
        <v>286</v>
      </c>
      <c r="D4" s="31" t="s">
        <v>87</v>
      </c>
      <c r="E4" s="31" t="s">
        <v>287</v>
      </c>
      <c r="F4" s="32">
        <v>1.0</v>
      </c>
      <c r="G4" s="33">
        <v>600.0</v>
      </c>
      <c r="H4" s="33">
        <v>1670.0</v>
      </c>
      <c r="I4" s="33">
        <f t="shared" ref="I4:I30" si="3">H4-G4</f>
        <v>1070</v>
      </c>
      <c r="J4" s="19">
        <f t="shared" ref="J4:K4" si="1">SUM(H4:H42)</f>
        <v>82220</v>
      </c>
      <c r="K4" s="37">
        <f t="shared" si="1"/>
        <v>50320</v>
      </c>
      <c r="L4" s="39">
        <f t="shared" ref="L4:M4" si="2">J4/2</f>
        <v>41110</v>
      </c>
      <c r="M4" s="41">
        <f t="shared" si="2"/>
        <v>25160</v>
      </c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8.75" customHeight="1">
      <c r="A5" s="69">
        <v>2.0</v>
      </c>
      <c r="B5" s="64">
        <v>45214.0</v>
      </c>
      <c r="C5" s="122" t="s">
        <v>288</v>
      </c>
      <c r="D5" s="67" t="s">
        <v>289</v>
      </c>
      <c r="E5" s="67" t="s">
        <v>290</v>
      </c>
      <c r="F5" s="32">
        <v>1.0</v>
      </c>
      <c r="G5" s="33">
        <v>2250.0</v>
      </c>
      <c r="H5" s="33">
        <v>5850.0</v>
      </c>
      <c r="I5" s="33">
        <f t="shared" si="3"/>
        <v>3600</v>
      </c>
      <c r="J5" s="38"/>
      <c r="K5" s="38"/>
      <c r="L5" s="38"/>
      <c r="M5" s="38"/>
    </row>
    <row r="6" ht="18.75" customHeight="1">
      <c r="A6" s="69">
        <v>3.0</v>
      </c>
      <c r="B6" s="38"/>
      <c r="C6" s="122" t="s">
        <v>288</v>
      </c>
      <c r="D6" s="38"/>
      <c r="E6" s="38"/>
      <c r="F6" s="32">
        <v>2.0</v>
      </c>
      <c r="G6" s="33">
        <v>1600.0</v>
      </c>
      <c r="H6" s="33">
        <v>4000.0</v>
      </c>
      <c r="I6" s="33">
        <f t="shared" si="3"/>
        <v>2400</v>
      </c>
      <c r="J6" s="38"/>
      <c r="K6" s="38"/>
      <c r="L6" s="38"/>
      <c r="M6" s="38"/>
      <c r="N6" s="57"/>
    </row>
    <row r="7" ht="18.75" customHeight="1">
      <c r="A7" s="69">
        <v>4.0</v>
      </c>
      <c r="B7" s="47"/>
      <c r="C7" s="122" t="s">
        <v>43</v>
      </c>
      <c r="D7" s="47"/>
      <c r="E7" s="47"/>
      <c r="F7" s="32">
        <v>1.0</v>
      </c>
      <c r="G7" s="33">
        <v>1500.0</v>
      </c>
      <c r="H7" s="33">
        <v>2700.0</v>
      </c>
      <c r="I7" s="33">
        <f t="shared" si="3"/>
        <v>1200</v>
      </c>
      <c r="J7" s="38"/>
      <c r="K7" s="38"/>
      <c r="L7" s="38"/>
      <c r="M7" s="38"/>
    </row>
    <row r="8" ht="18.75" customHeight="1">
      <c r="A8" s="69">
        <v>5.0</v>
      </c>
      <c r="B8" s="104">
        <v>45219.0</v>
      </c>
      <c r="C8" s="122" t="s">
        <v>288</v>
      </c>
      <c r="D8" s="130" t="s">
        <v>113</v>
      </c>
      <c r="E8" s="130" t="s">
        <v>290</v>
      </c>
      <c r="F8" s="32">
        <v>1.0</v>
      </c>
      <c r="G8" s="33">
        <v>2250.0</v>
      </c>
      <c r="H8" s="33">
        <v>5850.0</v>
      </c>
      <c r="I8" s="33">
        <f t="shared" si="3"/>
        <v>3600</v>
      </c>
      <c r="J8" s="38"/>
      <c r="K8" s="38"/>
      <c r="L8" s="38"/>
      <c r="M8" s="38"/>
      <c r="N8" s="83"/>
    </row>
    <row r="9" ht="18.75" customHeight="1">
      <c r="A9" s="69">
        <v>6.0</v>
      </c>
      <c r="B9" s="30">
        <v>45221.0</v>
      </c>
      <c r="C9" s="122" t="s">
        <v>291</v>
      </c>
      <c r="D9" s="69" t="s">
        <v>100</v>
      </c>
      <c r="E9" s="69" t="s">
        <v>23</v>
      </c>
      <c r="F9" s="32">
        <v>1.0</v>
      </c>
      <c r="G9" s="33"/>
      <c r="H9" s="33">
        <v>4200.0</v>
      </c>
      <c r="I9" s="33">
        <f t="shared" si="3"/>
        <v>4200</v>
      </c>
      <c r="J9" s="38"/>
      <c r="K9" s="38"/>
      <c r="L9" s="38"/>
      <c r="M9" s="38"/>
    </row>
    <row r="10" ht="18.75" customHeight="1">
      <c r="A10" s="69">
        <v>7.0</v>
      </c>
      <c r="B10" s="30">
        <v>45221.0</v>
      </c>
      <c r="C10" s="122" t="s">
        <v>137</v>
      </c>
      <c r="D10" s="69" t="s">
        <v>271</v>
      </c>
      <c r="E10" s="69" t="s">
        <v>28</v>
      </c>
      <c r="F10" s="32">
        <v>1.0</v>
      </c>
      <c r="G10" s="33">
        <v>3550.0</v>
      </c>
      <c r="H10" s="33">
        <v>6800.0</v>
      </c>
      <c r="I10" s="33">
        <f t="shared" si="3"/>
        <v>3250</v>
      </c>
      <c r="J10" s="38"/>
      <c r="K10" s="38"/>
      <c r="L10" s="38"/>
      <c r="M10" s="38"/>
      <c r="N10" s="83"/>
    </row>
    <row r="11" ht="18.75" customHeight="1">
      <c r="A11" s="69">
        <v>8.0</v>
      </c>
      <c r="B11" s="64">
        <v>45225.0</v>
      </c>
      <c r="C11" s="122" t="s">
        <v>292</v>
      </c>
      <c r="D11" s="67" t="s">
        <v>209</v>
      </c>
      <c r="E11" s="67" t="s">
        <v>150</v>
      </c>
      <c r="F11" s="32">
        <v>1.0</v>
      </c>
      <c r="G11" s="33">
        <v>4950.0</v>
      </c>
      <c r="H11" s="33">
        <v>9900.0</v>
      </c>
      <c r="I11" s="33">
        <f t="shared" si="3"/>
        <v>4950</v>
      </c>
      <c r="J11" s="38"/>
      <c r="K11" s="38"/>
      <c r="L11" s="38"/>
      <c r="M11" s="38"/>
      <c r="N11" s="83"/>
    </row>
    <row r="12" ht="18.75" customHeight="1">
      <c r="A12" s="69">
        <v>9.0</v>
      </c>
      <c r="B12" s="47"/>
      <c r="C12" s="122" t="s">
        <v>293</v>
      </c>
      <c r="D12" s="47"/>
      <c r="E12" s="47"/>
      <c r="F12" s="32">
        <v>2.0</v>
      </c>
      <c r="G12" s="33">
        <v>1600.0</v>
      </c>
      <c r="H12" s="33">
        <v>4500.0</v>
      </c>
      <c r="I12" s="33">
        <f t="shared" si="3"/>
        <v>2900</v>
      </c>
      <c r="J12" s="38"/>
      <c r="K12" s="38"/>
      <c r="L12" s="38"/>
      <c r="M12" s="38"/>
    </row>
    <row r="13" ht="18.75" customHeight="1">
      <c r="A13" s="69">
        <v>10.0</v>
      </c>
      <c r="B13" s="30">
        <v>45226.0</v>
      </c>
      <c r="C13" s="122" t="s">
        <v>127</v>
      </c>
      <c r="D13" s="69" t="s">
        <v>91</v>
      </c>
      <c r="E13" s="69" t="s">
        <v>92</v>
      </c>
      <c r="F13" s="32">
        <v>1.0</v>
      </c>
      <c r="G13" s="33">
        <v>5000.0</v>
      </c>
      <c r="H13" s="33">
        <v>11250.0</v>
      </c>
      <c r="I13" s="33">
        <f t="shared" si="3"/>
        <v>6250</v>
      </c>
      <c r="J13" s="38"/>
      <c r="K13" s="38"/>
      <c r="L13" s="38"/>
      <c r="M13" s="38"/>
    </row>
    <row r="14" ht="18.75" customHeight="1">
      <c r="A14" s="69">
        <v>11.0</v>
      </c>
      <c r="B14" s="104">
        <v>45232.0</v>
      </c>
      <c r="C14" s="134" t="s">
        <v>294</v>
      </c>
      <c r="D14" s="130" t="s">
        <v>295</v>
      </c>
      <c r="E14" s="130" t="s">
        <v>28</v>
      </c>
      <c r="F14" s="32">
        <v>1.0</v>
      </c>
      <c r="G14" s="33">
        <v>3000.0</v>
      </c>
      <c r="H14" s="33">
        <v>5400.0</v>
      </c>
      <c r="I14" s="33">
        <f t="shared" si="3"/>
        <v>2400</v>
      </c>
      <c r="J14" s="38"/>
      <c r="K14" s="38"/>
      <c r="L14" s="38"/>
      <c r="M14" s="38"/>
      <c r="N14" s="136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ht="18.75" customHeight="1">
      <c r="A15" s="69">
        <v>12.0</v>
      </c>
      <c r="B15" s="104">
        <v>45233.0</v>
      </c>
      <c r="C15" s="134" t="s">
        <v>296</v>
      </c>
      <c r="D15" s="130" t="s">
        <v>297</v>
      </c>
      <c r="E15" s="130" t="s">
        <v>298</v>
      </c>
      <c r="F15" s="32">
        <v>1.0</v>
      </c>
      <c r="G15" s="33"/>
      <c r="H15" s="33">
        <v>5500.0</v>
      </c>
      <c r="I15" s="33">
        <f t="shared" si="3"/>
        <v>5500</v>
      </c>
      <c r="J15" s="38"/>
      <c r="K15" s="38"/>
      <c r="L15" s="38"/>
      <c r="M15" s="38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ht="18.75" customHeight="1">
      <c r="A16" s="69">
        <v>13.0</v>
      </c>
      <c r="B16" s="30">
        <v>45203.0</v>
      </c>
      <c r="C16" s="134" t="s">
        <v>300</v>
      </c>
      <c r="D16" s="130" t="s">
        <v>206</v>
      </c>
      <c r="E16" s="130" t="s">
        <v>301</v>
      </c>
      <c r="F16" s="32">
        <v>2.0</v>
      </c>
      <c r="G16" s="33"/>
      <c r="H16" s="33">
        <v>2800.0</v>
      </c>
      <c r="I16" s="33">
        <f t="shared" si="3"/>
        <v>2800</v>
      </c>
      <c r="J16" s="38"/>
      <c r="K16" s="38"/>
      <c r="L16" s="38"/>
      <c r="M16" s="38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ht="18.75" customHeight="1">
      <c r="A17" s="69">
        <v>14.0</v>
      </c>
      <c r="B17" s="30">
        <v>44840.0</v>
      </c>
      <c r="C17" s="140" t="s">
        <v>42</v>
      </c>
      <c r="D17" s="69" t="s">
        <v>305</v>
      </c>
      <c r="E17" s="69" t="s">
        <v>31</v>
      </c>
      <c r="F17" s="32">
        <v>1.0</v>
      </c>
      <c r="G17" s="70">
        <v>2500.0</v>
      </c>
      <c r="H17" s="33">
        <v>4500.0</v>
      </c>
      <c r="I17" s="33">
        <f t="shared" si="3"/>
        <v>2000</v>
      </c>
      <c r="J17" s="38"/>
      <c r="K17" s="38"/>
      <c r="L17" s="38"/>
      <c r="M17" s="38"/>
      <c r="N17" s="83"/>
    </row>
    <row r="18" ht="18.75" customHeight="1">
      <c r="A18" s="69">
        <v>15.0</v>
      </c>
      <c r="B18" s="64">
        <v>44842.0</v>
      </c>
      <c r="C18" s="140" t="s">
        <v>306</v>
      </c>
      <c r="D18" s="67" t="s">
        <v>88</v>
      </c>
      <c r="E18" s="67" t="s">
        <v>307</v>
      </c>
      <c r="F18" s="32">
        <v>1.0</v>
      </c>
      <c r="G18" s="33">
        <v>1600.0</v>
      </c>
      <c r="H18" s="33">
        <v>4500.0</v>
      </c>
      <c r="I18" s="33">
        <f t="shared" si="3"/>
        <v>2900</v>
      </c>
      <c r="J18" s="38"/>
      <c r="K18" s="38"/>
      <c r="L18" s="38"/>
      <c r="M18" s="38"/>
      <c r="N18" s="83"/>
    </row>
    <row r="19" ht="18.75" customHeight="1">
      <c r="A19" s="69">
        <v>16.0</v>
      </c>
      <c r="B19" s="47"/>
      <c r="C19" s="140" t="s">
        <v>309</v>
      </c>
      <c r="D19" s="47"/>
      <c r="E19" s="47"/>
      <c r="F19" s="32">
        <v>1.0</v>
      </c>
      <c r="G19" s="33">
        <v>750.0</v>
      </c>
      <c r="H19" s="33">
        <v>1000.0</v>
      </c>
      <c r="I19" s="33">
        <f t="shared" si="3"/>
        <v>250</v>
      </c>
      <c r="J19" s="38"/>
      <c r="K19" s="38"/>
      <c r="L19" s="38"/>
      <c r="M19" s="38"/>
      <c r="N19" s="83"/>
    </row>
    <row r="20" ht="18.75" customHeight="1">
      <c r="A20" s="69">
        <v>17.0</v>
      </c>
      <c r="B20" s="30">
        <v>44842.0</v>
      </c>
      <c r="C20" s="140" t="s">
        <v>309</v>
      </c>
      <c r="D20" s="69"/>
      <c r="E20" s="69" t="s">
        <v>201</v>
      </c>
      <c r="F20" s="32">
        <v>1.0</v>
      </c>
      <c r="G20" s="70">
        <v>750.0</v>
      </c>
      <c r="H20" s="33">
        <v>1800.0</v>
      </c>
      <c r="I20" s="33">
        <f t="shared" si="3"/>
        <v>1050</v>
      </c>
      <c r="J20" s="38"/>
      <c r="K20" s="38"/>
      <c r="L20" s="38"/>
      <c r="M20" s="38"/>
    </row>
    <row r="21" ht="18.75" customHeight="1">
      <c r="A21" s="69">
        <v>18.0</v>
      </c>
      <c r="B21" s="30"/>
      <c r="C21" s="140"/>
      <c r="D21" s="69"/>
      <c r="E21" s="69"/>
      <c r="F21" s="32"/>
      <c r="G21" s="70"/>
      <c r="H21" s="33"/>
      <c r="I21" s="33">
        <f t="shared" si="3"/>
        <v>0</v>
      </c>
      <c r="J21" s="38"/>
      <c r="K21" s="38"/>
      <c r="L21" s="38"/>
      <c r="M21" s="38"/>
    </row>
    <row r="22" ht="18.75" customHeight="1">
      <c r="A22" s="69">
        <v>19.0</v>
      </c>
      <c r="B22" s="30"/>
      <c r="C22" s="140"/>
      <c r="D22" s="69"/>
      <c r="E22" s="69"/>
      <c r="F22" s="32"/>
      <c r="G22" s="33"/>
      <c r="H22" s="33"/>
      <c r="I22" s="33">
        <f t="shared" si="3"/>
        <v>0</v>
      </c>
      <c r="J22" s="38"/>
      <c r="K22" s="38"/>
      <c r="L22" s="38"/>
      <c r="M22" s="38"/>
    </row>
    <row r="23" ht="18.75" customHeight="1">
      <c r="A23" s="69">
        <v>20.0</v>
      </c>
      <c r="B23" s="30"/>
      <c r="C23" s="140"/>
      <c r="D23" s="69"/>
      <c r="E23" s="69"/>
      <c r="F23" s="32"/>
      <c r="G23" s="33"/>
      <c r="H23" s="33"/>
      <c r="I23" s="33">
        <f t="shared" si="3"/>
        <v>0</v>
      </c>
      <c r="J23" s="38"/>
      <c r="K23" s="38"/>
      <c r="L23" s="38"/>
      <c r="M23" s="38"/>
    </row>
    <row r="24" ht="18.75" customHeight="1">
      <c r="A24" s="69">
        <v>21.0</v>
      </c>
      <c r="B24" s="30"/>
      <c r="C24" s="140"/>
      <c r="D24" s="69"/>
      <c r="E24" s="69"/>
      <c r="F24" s="32"/>
      <c r="G24" s="33"/>
      <c r="H24" s="33"/>
      <c r="I24" s="33">
        <f t="shared" si="3"/>
        <v>0</v>
      </c>
      <c r="J24" s="38"/>
      <c r="K24" s="38"/>
      <c r="L24" s="38"/>
      <c r="M24" s="38"/>
    </row>
    <row r="25" ht="18.75" customHeight="1">
      <c r="A25" s="69">
        <v>22.0</v>
      </c>
      <c r="B25" s="30"/>
      <c r="C25" s="140"/>
      <c r="D25" s="69"/>
      <c r="E25" s="69"/>
      <c r="F25" s="32"/>
      <c r="G25" s="33"/>
      <c r="H25" s="33"/>
      <c r="I25" s="33">
        <f t="shared" si="3"/>
        <v>0</v>
      </c>
      <c r="J25" s="38"/>
      <c r="K25" s="38"/>
      <c r="L25" s="38"/>
      <c r="M25" s="38"/>
    </row>
    <row r="26" ht="18.75" customHeight="1">
      <c r="A26" s="69">
        <v>23.0</v>
      </c>
      <c r="B26" s="30"/>
      <c r="C26" s="140"/>
      <c r="D26" s="69"/>
      <c r="E26" s="69"/>
      <c r="F26" s="32"/>
      <c r="G26" s="33"/>
      <c r="H26" s="33"/>
      <c r="I26" s="33">
        <f t="shared" si="3"/>
        <v>0</v>
      </c>
      <c r="J26" s="38"/>
      <c r="K26" s="38"/>
      <c r="L26" s="38"/>
      <c r="M26" s="38"/>
    </row>
    <row r="27" ht="18.75" customHeight="1">
      <c r="A27" s="69">
        <v>24.0</v>
      </c>
      <c r="B27" s="30"/>
      <c r="C27" s="140"/>
      <c r="D27" s="69"/>
      <c r="E27" s="69"/>
      <c r="F27" s="32"/>
      <c r="G27" s="33"/>
      <c r="H27" s="33"/>
      <c r="I27" s="33">
        <f t="shared" si="3"/>
        <v>0</v>
      </c>
      <c r="J27" s="38"/>
      <c r="K27" s="38"/>
      <c r="L27" s="38"/>
      <c r="M27" s="38"/>
    </row>
    <row r="28" ht="18.75" customHeight="1">
      <c r="A28" s="69">
        <v>25.0</v>
      </c>
      <c r="B28" s="30"/>
      <c r="C28" s="140"/>
      <c r="D28" s="69"/>
      <c r="E28" s="69"/>
      <c r="F28" s="32"/>
      <c r="G28" s="33"/>
      <c r="H28" s="33"/>
      <c r="I28" s="33">
        <f t="shared" si="3"/>
        <v>0</v>
      </c>
      <c r="J28" s="38"/>
      <c r="K28" s="38"/>
      <c r="L28" s="38"/>
      <c r="M28" s="38"/>
    </row>
    <row r="29" ht="18.75" customHeight="1">
      <c r="A29" s="69">
        <v>26.0</v>
      </c>
      <c r="B29" s="30"/>
      <c r="C29" s="140"/>
      <c r="D29" s="69"/>
      <c r="E29" s="69"/>
      <c r="F29" s="32"/>
      <c r="G29" s="33"/>
      <c r="H29" s="33"/>
      <c r="I29" s="33">
        <f t="shared" si="3"/>
        <v>0</v>
      </c>
      <c r="J29" s="38"/>
      <c r="K29" s="38"/>
      <c r="L29" s="38"/>
      <c r="M29" s="38"/>
    </row>
    <row r="30" ht="18.75" customHeight="1">
      <c r="A30" s="69">
        <v>27.0</v>
      </c>
      <c r="B30" s="30"/>
      <c r="C30" s="140"/>
      <c r="D30" s="69"/>
      <c r="E30" s="69"/>
      <c r="F30" s="32"/>
      <c r="G30" s="33"/>
      <c r="H30" s="33"/>
      <c r="I30" s="33">
        <f t="shared" si="3"/>
        <v>0</v>
      </c>
      <c r="J30" s="47"/>
      <c r="K30" s="47"/>
      <c r="L30" s="47"/>
      <c r="M30" s="47"/>
    </row>
    <row r="31" ht="18.75" customHeight="1">
      <c r="A31" s="72"/>
      <c r="B31" s="73"/>
      <c r="C31" s="87"/>
      <c r="D31" s="74"/>
      <c r="E31" s="74"/>
      <c r="F31" s="118">
        <f>SUM(F4:F30)</f>
        <v>20</v>
      </c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5:B7"/>
    <mergeCell ref="B11:B12"/>
    <mergeCell ref="D11:D12"/>
    <mergeCell ref="E11:E12"/>
    <mergeCell ref="B18:B19"/>
    <mergeCell ref="D18:D19"/>
    <mergeCell ref="A1:M2"/>
    <mergeCell ref="J4:J30"/>
    <mergeCell ref="K4:K30"/>
    <mergeCell ref="L4:L30"/>
    <mergeCell ref="M4:M30"/>
    <mergeCell ref="D5:D7"/>
    <mergeCell ref="E5:E7"/>
    <mergeCell ref="E18:E19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4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23" t="s">
        <v>2</v>
      </c>
      <c r="B3" s="124" t="s">
        <v>3</v>
      </c>
      <c r="C3" s="78" t="s">
        <v>4</v>
      </c>
      <c r="D3" s="125" t="s">
        <v>5</v>
      </c>
      <c r="E3" s="125" t="s">
        <v>6</v>
      </c>
      <c r="F3" s="126" t="s">
        <v>7</v>
      </c>
      <c r="G3" s="34" t="s">
        <v>8</v>
      </c>
      <c r="H3" s="34" t="s">
        <v>9</v>
      </c>
      <c r="I3" s="123" t="s">
        <v>10</v>
      </c>
      <c r="J3" s="98" t="s">
        <v>11</v>
      </c>
      <c r="K3" s="98" t="s">
        <v>12</v>
      </c>
      <c r="L3" s="98" t="s">
        <v>13</v>
      </c>
      <c r="M3" s="98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127">
        <v>1.0</v>
      </c>
      <c r="B4" s="128">
        <v>45242.0</v>
      </c>
      <c r="C4" s="80" t="s">
        <v>280</v>
      </c>
      <c r="D4" s="129" t="s">
        <v>100</v>
      </c>
      <c r="E4" s="86" t="s">
        <v>78</v>
      </c>
      <c r="F4" s="131">
        <v>1.0</v>
      </c>
      <c r="G4" s="132">
        <v>2350.0</v>
      </c>
      <c r="H4" s="132">
        <v>3700.0</v>
      </c>
      <c r="I4" s="132">
        <f t="shared" ref="I4:I32" si="3">H4-G4</f>
        <v>1350</v>
      </c>
      <c r="J4" s="34">
        <f t="shared" ref="J4:K4" si="1">SUM(H4:H44)</f>
        <v>114780</v>
      </c>
      <c r="K4" s="37">
        <f t="shared" si="1"/>
        <v>58430</v>
      </c>
      <c r="L4" s="39">
        <f t="shared" ref="L4:M4" si="2">J4/2</f>
        <v>57390</v>
      </c>
      <c r="M4" s="41">
        <f t="shared" si="2"/>
        <v>29215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127">
        <v>2.0</v>
      </c>
      <c r="B5" s="128">
        <v>45245.0</v>
      </c>
      <c r="C5" s="80" t="s">
        <v>19</v>
      </c>
      <c r="D5" s="129" t="s">
        <v>69</v>
      </c>
      <c r="E5" s="86" t="s">
        <v>23</v>
      </c>
      <c r="F5" s="131">
        <v>1.0</v>
      </c>
      <c r="G5" s="132">
        <v>3000.0</v>
      </c>
      <c r="H5" s="132">
        <v>5400.0</v>
      </c>
      <c r="I5" s="132">
        <f t="shared" si="3"/>
        <v>2400</v>
      </c>
      <c r="J5" s="38"/>
      <c r="K5" s="38"/>
      <c r="L5" s="38"/>
      <c r="M5" s="38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8.75" customHeight="1">
      <c r="A6" s="127">
        <v>3.0</v>
      </c>
      <c r="B6" s="128">
        <v>45244.0</v>
      </c>
      <c r="C6" s="80" t="s">
        <v>280</v>
      </c>
      <c r="D6" s="129" t="s">
        <v>135</v>
      </c>
      <c r="E6" s="86" t="s">
        <v>47</v>
      </c>
      <c r="F6" s="131">
        <v>1.0</v>
      </c>
      <c r="G6" s="132">
        <v>2350.0</v>
      </c>
      <c r="H6" s="132">
        <v>4000.0</v>
      </c>
      <c r="I6" s="132">
        <f t="shared" si="3"/>
        <v>1650</v>
      </c>
      <c r="J6" s="38"/>
      <c r="K6" s="38"/>
      <c r="L6" s="38"/>
      <c r="M6" s="38"/>
    </row>
    <row r="7" ht="18.75" customHeight="1">
      <c r="A7" s="127">
        <v>4.0</v>
      </c>
      <c r="B7" s="133">
        <v>45246.0</v>
      </c>
      <c r="C7" s="80" t="s">
        <v>277</v>
      </c>
      <c r="D7" s="135" t="s">
        <v>74</v>
      </c>
      <c r="E7" s="135" t="s">
        <v>93</v>
      </c>
      <c r="F7" s="131">
        <v>1.0</v>
      </c>
      <c r="G7" s="132">
        <v>750.0</v>
      </c>
      <c r="H7" s="132">
        <v>1500.0</v>
      </c>
      <c r="I7" s="132">
        <f t="shared" si="3"/>
        <v>750</v>
      </c>
      <c r="J7" s="38"/>
      <c r="K7" s="38"/>
      <c r="L7" s="38"/>
      <c r="M7" s="38"/>
    </row>
    <row r="8" ht="18.75" customHeight="1">
      <c r="A8" s="127">
        <v>5.0</v>
      </c>
      <c r="B8" s="47"/>
      <c r="C8" s="80" t="s">
        <v>280</v>
      </c>
      <c r="D8" s="47"/>
      <c r="E8" s="47"/>
      <c r="F8" s="131">
        <v>1.0</v>
      </c>
      <c r="G8" s="132">
        <v>2350.0</v>
      </c>
      <c r="H8" s="132">
        <v>4000.0</v>
      </c>
      <c r="I8" s="132">
        <f t="shared" si="3"/>
        <v>1650</v>
      </c>
      <c r="J8" s="38"/>
      <c r="K8" s="38"/>
      <c r="L8" s="38"/>
      <c r="M8" s="38"/>
      <c r="N8" s="57"/>
    </row>
    <row r="9" ht="18.75" customHeight="1">
      <c r="A9" s="127">
        <v>6.0</v>
      </c>
      <c r="B9" s="133">
        <v>45246.0</v>
      </c>
      <c r="C9" s="80" t="s">
        <v>137</v>
      </c>
      <c r="D9" s="137" t="s">
        <v>299</v>
      </c>
      <c r="E9" s="137" t="s">
        <v>28</v>
      </c>
      <c r="F9" s="131">
        <v>1.0</v>
      </c>
      <c r="G9" s="132">
        <v>3550.0</v>
      </c>
      <c r="H9" s="132">
        <v>6800.0</v>
      </c>
      <c r="I9" s="132">
        <f t="shared" si="3"/>
        <v>3250</v>
      </c>
      <c r="J9" s="38"/>
      <c r="K9" s="38"/>
      <c r="L9" s="38"/>
      <c r="M9" s="38"/>
    </row>
    <row r="10" ht="18.75" customHeight="1">
      <c r="A10" s="127">
        <v>7.0</v>
      </c>
      <c r="B10" s="138">
        <v>45247.0</v>
      </c>
      <c r="C10" s="80" t="s">
        <v>293</v>
      </c>
      <c r="D10" s="139" t="s">
        <v>302</v>
      </c>
      <c r="E10" s="139" t="s">
        <v>303</v>
      </c>
      <c r="F10" s="131">
        <v>1.0</v>
      </c>
      <c r="G10" s="132">
        <v>750.0</v>
      </c>
      <c r="H10" s="132">
        <v>2500.0</v>
      </c>
      <c r="I10" s="132">
        <f t="shared" si="3"/>
        <v>1750</v>
      </c>
      <c r="J10" s="38"/>
      <c r="K10" s="38"/>
      <c r="L10" s="38"/>
      <c r="M10" s="38"/>
      <c r="N10" s="83"/>
    </row>
    <row r="11" ht="18.75" customHeight="1">
      <c r="A11" s="127">
        <v>8.0</v>
      </c>
      <c r="B11" s="133">
        <v>45247.0</v>
      </c>
      <c r="C11" s="80" t="s">
        <v>292</v>
      </c>
      <c r="D11" s="135" t="s">
        <v>249</v>
      </c>
      <c r="E11" s="135" t="s">
        <v>304</v>
      </c>
      <c r="F11" s="131">
        <v>1.0</v>
      </c>
      <c r="G11" s="132">
        <v>4950.0</v>
      </c>
      <c r="H11" s="132">
        <v>9900.0</v>
      </c>
      <c r="I11" s="132">
        <f t="shared" si="3"/>
        <v>4950</v>
      </c>
      <c r="J11" s="38"/>
      <c r="K11" s="38"/>
      <c r="L11" s="38"/>
      <c r="M11" s="38"/>
    </row>
    <row r="12" ht="18.75" customHeight="1">
      <c r="A12" s="127">
        <v>9.0</v>
      </c>
      <c r="B12" s="47"/>
      <c r="C12" s="80" t="s">
        <v>40</v>
      </c>
      <c r="D12" s="47"/>
      <c r="E12" s="47"/>
      <c r="F12" s="131">
        <v>1.0</v>
      </c>
      <c r="G12" s="132">
        <v>2500.0</v>
      </c>
      <c r="H12" s="132">
        <v>4500.0</v>
      </c>
      <c r="I12" s="132">
        <f t="shared" si="3"/>
        <v>2000</v>
      </c>
      <c r="J12" s="38"/>
      <c r="K12" s="38"/>
      <c r="L12" s="38"/>
      <c r="M12" s="38"/>
      <c r="N12" s="83"/>
    </row>
    <row r="13" ht="18.75" customHeight="1">
      <c r="A13" s="127">
        <v>10.0</v>
      </c>
      <c r="B13" s="141">
        <v>45248.0</v>
      </c>
      <c r="C13" s="80" t="s">
        <v>308</v>
      </c>
      <c r="D13" s="137" t="s">
        <v>271</v>
      </c>
      <c r="E13" s="137" t="s">
        <v>134</v>
      </c>
      <c r="F13" s="131">
        <v>1.0</v>
      </c>
      <c r="G13" s="132">
        <v>7900.0</v>
      </c>
      <c r="H13" s="132">
        <v>18000.0</v>
      </c>
      <c r="I13" s="132">
        <f t="shared" si="3"/>
        <v>10100</v>
      </c>
      <c r="J13" s="38"/>
      <c r="K13" s="38"/>
      <c r="L13" s="38"/>
      <c r="M13" s="38"/>
      <c r="N13" s="83"/>
    </row>
    <row r="14" ht="18.75" customHeight="1">
      <c r="A14" s="127">
        <v>11.0</v>
      </c>
      <c r="B14" s="138">
        <v>45249.0</v>
      </c>
      <c r="C14" s="80" t="s">
        <v>137</v>
      </c>
      <c r="D14" s="139" t="s">
        <v>310</v>
      </c>
      <c r="E14" s="139" t="s">
        <v>311</v>
      </c>
      <c r="F14" s="131">
        <v>1.0</v>
      </c>
      <c r="G14" s="132">
        <v>3550.0</v>
      </c>
      <c r="H14" s="132">
        <v>6800.0</v>
      </c>
      <c r="I14" s="132">
        <f t="shared" si="3"/>
        <v>3250</v>
      </c>
      <c r="J14" s="38"/>
      <c r="K14" s="38"/>
      <c r="L14" s="38"/>
      <c r="M14" s="38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ht="18.75" customHeight="1">
      <c r="A15" s="127">
        <v>12.0</v>
      </c>
      <c r="B15" s="133">
        <v>45251.0</v>
      </c>
      <c r="C15" s="80" t="s">
        <v>293</v>
      </c>
      <c r="D15" s="137" t="s">
        <v>302</v>
      </c>
      <c r="E15" s="137" t="s">
        <v>312</v>
      </c>
      <c r="F15" s="131">
        <v>1.0</v>
      </c>
      <c r="G15" s="132">
        <v>750.0</v>
      </c>
      <c r="H15" s="132">
        <v>2500.0</v>
      </c>
      <c r="I15" s="132">
        <f t="shared" si="3"/>
        <v>1750</v>
      </c>
      <c r="J15" s="38"/>
      <c r="K15" s="38"/>
      <c r="L15" s="38"/>
      <c r="M15" s="38"/>
    </row>
    <row r="16" ht="18.75" customHeight="1">
      <c r="A16" s="127">
        <v>13.0</v>
      </c>
      <c r="B16" s="142">
        <v>45252.0</v>
      </c>
      <c r="C16" s="80" t="s">
        <v>181</v>
      </c>
      <c r="D16" s="143" t="s">
        <v>313</v>
      </c>
      <c r="E16" s="143" t="s">
        <v>28</v>
      </c>
      <c r="F16" s="131">
        <v>1.0</v>
      </c>
      <c r="G16" s="132">
        <v>4950.0</v>
      </c>
      <c r="H16" s="132">
        <v>9900.0</v>
      </c>
      <c r="I16" s="132">
        <f t="shared" si="3"/>
        <v>4950</v>
      </c>
      <c r="J16" s="38"/>
      <c r="K16" s="38"/>
      <c r="L16" s="38"/>
      <c r="M16" s="38"/>
      <c r="N16" s="83"/>
    </row>
    <row r="17" ht="18.75" customHeight="1">
      <c r="A17" s="127">
        <v>14.0</v>
      </c>
      <c r="B17" s="138">
        <v>45253.0</v>
      </c>
      <c r="C17" s="80" t="s">
        <v>314</v>
      </c>
      <c r="D17" s="143"/>
      <c r="E17" s="143" t="s">
        <v>23</v>
      </c>
      <c r="F17" s="131">
        <v>1.0</v>
      </c>
      <c r="G17" s="132"/>
      <c r="H17" s="132">
        <v>4500.0</v>
      </c>
      <c r="I17" s="132">
        <f t="shared" si="3"/>
        <v>4500</v>
      </c>
      <c r="J17" s="38"/>
      <c r="K17" s="38"/>
      <c r="L17" s="38"/>
      <c r="M17" s="38"/>
    </row>
    <row r="18" ht="18.75" customHeight="1">
      <c r="A18" s="127">
        <v>15.0</v>
      </c>
      <c r="B18" s="128">
        <v>45256.0</v>
      </c>
      <c r="C18" s="80" t="s">
        <v>40</v>
      </c>
      <c r="D18" s="139"/>
      <c r="E18" s="139" t="s">
        <v>315</v>
      </c>
      <c r="F18" s="131">
        <v>1.0</v>
      </c>
      <c r="G18" s="132">
        <v>2500.0</v>
      </c>
      <c r="H18" s="132">
        <v>4500.0</v>
      </c>
      <c r="I18" s="132">
        <f t="shared" si="3"/>
        <v>2000</v>
      </c>
      <c r="J18" s="38"/>
      <c r="K18" s="38"/>
      <c r="L18" s="38"/>
      <c r="M18" s="38"/>
    </row>
    <row r="19" ht="18.75" customHeight="1">
      <c r="A19" s="127">
        <v>16.0</v>
      </c>
      <c r="B19" s="144">
        <v>45263.0</v>
      </c>
      <c r="C19" s="85" t="s">
        <v>280</v>
      </c>
      <c r="D19" s="140" t="s">
        <v>236</v>
      </c>
      <c r="E19" s="140" t="s">
        <v>28</v>
      </c>
      <c r="F19" s="131">
        <v>1.0</v>
      </c>
      <c r="G19" s="145">
        <v>2350.0</v>
      </c>
      <c r="H19" s="132">
        <v>3780.0</v>
      </c>
      <c r="I19" s="132">
        <f t="shared" si="3"/>
        <v>1430</v>
      </c>
      <c r="J19" s="38"/>
      <c r="K19" s="38"/>
      <c r="L19" s="38"/>
      <c r="M19" s="38"/>
      <c r="N19" s="83"/>
    </row>
    <row r="20" ht="18.75" customHeight="1">
      <c r="A20" s="127">
        <v>17.0</v>
      </c>
      <c r="B20" s="144">
        <v>45264.0</v>
      </c>
      <c r="C20" s="86" t="s">
        <v>280</v>
      </c>
      <c r="D20" s="86" t="s">
        <v>316</v>
      </c>
      <c r="E20" s="86" t="s">
        <v>93</v>
      </c>
      <c r="F20" s="131">
        <v>1.0</v>
      </c>
      <c r="G20" s="132">
        <v>2350.0</v>
      </c>
      <c r="H20" s="132">
        <v>4000.0</v>
      </c>
      <c r="I20" s="132">
        <f t="shared" si="3"/>
        <v>1650</v>
      </c>
      <c r="J20" s="38"/>
      <c r="K20" s="38"/>
      <c r="L20" s="38"/>
      <c r="M20" s="38"/>
      <c r="N20" s="83"/>
    </row>
    <row r="21" ht="18.75" customHeight="1">
      <c r="A21" s="127">
        <v>18.0</v>
      </c>
      <c r="B21" s="133">
        <v>45265.0</v>
      </c>
      <c r="C21" s="86" t="s">
        <v>137</v>
      </c>
      <c r="D21" s="135" t="s">
        <v>94</v>
      </c>
      <c r="E21" s="135" t="s">
        <v>92</v>
      </c>
      <c r="F21" s="131">
        <v>1.0</v>
      </c>
      <c r="G21" s="132">
        <v>3550.0</v>
      </c>
      <c r="H21" s="132">
        <v>6800.0</v>
      </c>
      <c r="I21" s="132">
        <f t="shared" si="3"/>
        <v>3250</v>
      </c>
      <c r="J21" s="38"/>
      <c r="K21" s="38"/>
      <c r="L21" s="38"/>
      <c r="M21" s="38"/>
      <c r="N21" s="83"/>
    </row>
    <row r="22" ht="18.75" customHeight="1">
      <c r="A22" s="127">
        <v>19.0</v>
      </c>
      <c r="B22" s="146">
        <v>45265.0</v>
      </c>
      <c r="C22" s="86" t="s">
        <v>317</v>
      </c>
      <c r="D22" s="147"/>
      <c r="E22" s="147" t="s">
        <v>150</v>
      </c>
      <c r="F22" s="131">
        <v>1.0</v>
      </c>
      <c r="G22" s="145">
        <v>3550.0</v>
      </c>
      <c r="H22" s="132">
        <v>7500.0</v>
      </c>
      <c r="I22" s="132">
        <f t="shared" si="3"/>
        <v>3950</v>
      </c>
      <c r="J22" s="38"/>
      <c r="K22" s="38"/>
      <c r="L22" s="38"/>
      <c r="M22" s="38"/>
    </row>
    <row r="23" ht="18.75" customHeight="1">
      <c r="A23" s="127">
        <v>20.0</v>
      </c>
      <c r="B23" s="148">
        <v>45268.0</v>
      </c>
      <c r="C23" s="86" t="s">
        <v>280</v>
      </c>
      <c r="D23" s="149" t="s">
        <v>318</v>
      </c>
      <c r="E23" s="149" t="s">
        <v>319</v>
      </c>
      <c r="F23" s="131">
        <v>1.0</v>
      </c>
      <c r="G23" s="145">
        <v>2350.0</v>
      </c>
      <c r="H23" s="132">
        <v>4200.0</v>
      </c>
      <c r="I23" s="132">
        <f t="shared" si="3"/>
        <v>1850</v>
      </c>
      <c r="J23" s="38"/>
      <c r="K23" s="38"/>
      <c r="L23" s="38"/>
      <c r="M23" s="38"/>
    </row>
    <row r="24" ht="18.75" customHeight="1">
      <c r="A24" s="127">
        <v>21.0</v>
      </c>
      <c r="B24" s="144"/>
      <c r="C24" s="86"/>
      <c r="D24" s="86"/>
      <c r="E24" s="86"/>
      <c r="F24" s="131"/>
      <c r="G24" s="132"/>
      <c r="H24" s="132"/>
      <c r="I24" s="132">
        <f t="shared" si="3"/>
        <v>0</v>
      </c>
      <c r="J24" s="38"/>
      <c r="K24" s="38"/>
      <c r="L24" s="38"/>
      <c r="M24" s="38"/>
    </row>
    <row r="25" ht="18.75" customHeight="1">
      <c r="A25" s="127">
        <v>22.0</v>
      </c>
      <c r="B25" s="144"/>
      <c r="C25" s="86"/>
      <c r="D25" s="86"/>
      <c r="E25" s="86"/>
      <c r="F25" s="131"/>
      <c r="G25" s="132"/>
      <c r="H25" s="132"/>
      <c r="I25" s="132">
        <f t="shared" si="3"/>
        <v>0</v>
      </c>
      <c r="J25" s="38"/>
      <c r="K25" s="38"/>
      <c r="L25" s="38"/>
      <c r="M25" s="38"/>
    </row>
    <row r="26" ht="18.75" customHeight="1">
      <c r="A26" s="127">
        <v>23.0</v>
      </c>
      <c r="B26" s="144"/>
      <c r="C26" s="86"/>
      <c r="D26" s="86"/>
      <c r="E26" s="86"/>
      <c r="F26" s="131"/>
      <c r="G26" s="132"/>
      <c r="H26" s="132"/>
      <c r="I26" s="132">
        <f t="shared" si="3"/>
        <v>0</v>
      </c>
      <c r="J26" s="38"/>
      <c r="K26" s="38"/>
      <c r="L26" s="38"/>
      <c r="M26" s="38"/>
    </row>
    <row r="27" ht="18.75" customHeight="1">
      <c r="A27" s="127">
        <v>24.0</v>
      </c>
      <c r="B27" s="144"/>
      <c r="C27" s="86"/>
      <c r="D27" s="86"/>
      <c r="E27" s="86"/>
      <c r="F27" s="131"/>
      <c r="G27" s="132"/>
      <c r="H27" s="132"/>
      <c r="I27" s="132">
        <f t="shared" si="3"/>
        <v>0</v>
      </c>
      <c r="J27" s="38"/>
      <c r="K27" s="38"/>
      <c r="L27" s="38"/>
      <c r="M27" s="38"/>
    </row>
    <row r="28" ht="18.75" customHeight="1">
      <c r="A28" s="127">
        <v>25.0</v>
      </c>
      <c r="B28" s="144"/>
      <c r="C28" s="86"/>
      <c r="D28" s="86"/>
      <c r="E28" s="86"/>
      <c r="F28" s="131"/>
      <c r="G28" s="132"/>
      <c r="H28" s="132"/>
      <c r="I28" s="132">
        <f t="shared" si="3"/>
        <v>0</v>
      </c>
      <c r="J28" s="38"/>
      <c r="K28" s="38"/>
      <c r="L28" s="38"/>
      <c r="M28" s="38"/>
    </row>
    <row r="29" ht="18.75" customHeight="1">
      <c r="A29" s="127">
        <v>26.0</v>
      </c>
      <c r="B29" s="144"/>
      <c r="C29" s="86"/>
      <c r="D29" s="86"/>
      <c r="E29" s="86"/>
      <c r="F29" s="131"/>
      <c r="G29" s="132"/>
      <c r="H29" s="132"/>
      <c r="I29" s="132">
        <f t="shared" si="3"/>
        <v>0</v>
      </c>
      <c r="J29" s="38"/>
      <c r="K29" s="38"/>
      <c r="L29" s="38"/>
      <c r="M29" s="38"/>
    </row>
    <row r="30" ht="18.75" customHeight="1">
      <c r="A30" s="127">
        <v>27.0</v>
      </c>
      <c r="B30" s="144"/>
      <c r="C30" s="86"/>
      <c r="D30" s="86"/>
      <c r="E30" s="86"/>
      <c r="F30" s="131"/>
      <c r="G30" s="132"/>
      <c r="H30" s="132"/>
      <c r="I30" s="132">
        <f t="shared" si="3"/>
        <v>0</v>
      </c>
      <c r="J30" s="38"/>
      <c r="K30" s="38"/>
      <c r="L30" s="38"/>
      <c r="M30" s="38"/>
    </row>
    <row r="31" ht="18.75" customHeight="1">
      <c r="A31" s="127">
        <v>28.0</v>
      </c>
      <c r="B31" s="144"/>
      <c r="C31" s="86"/>
      <c r="D31" s="86"/>
      <c r="E31" s="86"/>
      <c r="F31" s="131"/>
      <c r="G31" s="132"/>
      <c r="H31" s="132"/>
      <c r="I31" s="132">
        <f t="shared" si="3"/>
        <v>0</v>
      </c>
      <c r="J31" s="38"/>
      <c r="K31" s="38"/>
      <c r="L31" s="38"/>
      <c r="M31" s="38"/>
    </row>
    <row r="32" ht="18.75" customHeight="1">
      <c r="A32" s="127">
        <v>29.0</v>
      </c>
      <c r="B32" s="144"/>
      <c r="C32" s="86"/>
      <c r="D32" s="86"/>
      <c r="E32" s="86"/>
      <c r="F32" s="131"/>
      <c r="G32" s="132"/>
      <c r="H32" s="132"/>
      <c r="I32" s="132">
        <f t="shared" si="3"/>
        <v>0</v>
      </c>
      <c r="J32" s="47"/>
      <c r="K32" s="47"/>
      <c r="L32" s="47"/>
      <c r="M32" s="47"/>
    </row>
    <row r="33" ht="18.75" customHeight="1">
      <c r="A33" s="150"/>
      <c r="B33" s="151"/>
      <c r="C33" s="87"/>
      <c r="D33" s="87"/>
      <c r="E33" s="87"/>
      <c r="F33" s="152">
        <f>SUM(F4:F32)</f>
        <v>20</v>
      </c>
      <c r="G33" s="153"/>
      <c r="H33" s="153"/>
      <c r="I33" s="150"/>
      <c r="J33" s="150"/>
      <c r="K33" s="150"/>
      <c r="L33" s="150"/>
      <c r="M33" s="150"/>
    </row>
    <row r="34" ht="18.75" customHeight="1">
      <c r="A34" s="72"/>
      <c r="B34" s="73"/>
      <c r="C34" s="74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74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 t="s">
        <v>123</v>
      </c>
      <c r="C36" s="74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74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74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74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74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74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74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74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74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74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74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74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74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74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74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74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74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74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74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74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74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74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74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74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74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74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74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74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74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74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74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74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74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74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74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74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74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74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74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74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74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74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74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74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74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74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74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74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74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74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74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74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74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74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74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74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74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74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74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74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74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74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74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74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74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74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74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74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74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74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74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74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74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74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74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74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74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74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74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74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74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74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74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74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74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74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74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74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74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74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74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74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74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74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74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74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74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74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74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74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74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74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74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74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74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74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74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74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74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74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74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74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74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74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74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74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74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74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74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74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74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74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74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74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74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74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74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74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74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74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74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74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74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74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74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74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74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74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74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74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74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74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74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74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74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74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74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74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74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74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74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74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74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74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74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74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74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74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74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74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74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74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74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74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74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74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74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74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74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74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74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74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74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74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74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74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74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74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74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74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74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74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74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74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74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74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74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74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74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74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74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74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74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74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74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74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74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74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74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8.75" customHeight="1">
      <c r="A235" s="72"/>
      <c r="B235" s="73"/>
      <c r="C235" s="74"/>
      <c r="D235" s="74"/>
      <c r="E235" s="74"/>
      <c r="F235" s="72"/>
      <c r="G235" s="76"/>
      <c r="H235" s="76"/>
      <c r="I235" s="72"/>
      <c r="J235" s="24"/>
      <c r="K235" s="24"/>
      <c r="L235" s="24"/>
      <c r="M235" s="24"/>
    </row>
    <row r="236" ht="18.75" customHeight="1">
      <c r="A236" s="72"/>
      <c r="B236" s="73"/>
      <c r="C236" s="74"/>
      <c r="D236" s="74"/>
      <c r="E236" s="74"/>
      <c r="F236" s="72"/>
      <c r="G236" s="76"/>
      <c r="H236" s="76"/>
      <c r="I236" s="72"/>
      <c r="J236" s="24"/>
      <c r="K236" s="24"/>
      <c r="L236" s="24"/>
      <c r="M236" s="24"/>
    </row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7:B8"/>
    <mergeCell ref="B11:B12"/>
    <mergeCell ref="D11:D12"/>
    <mergeCell ref="E11:E12"/>
    <mergeCell ref="A1:M2"/>
    <mergeCell ref="J4:J32"/>
    <mergeCell ref="K4:K32"/>
    <mergeCell ref="L4:L32"/>
    <mergeCell ref="M4:M32"/>
    <mergeCell ref="D7:D8"/>
    <mergeCell ref="E7:E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23" t="s">
        <v>2</v>
      </c>
      <c r="B3" s="124" t="s">
        <v>3</v>
      </c>
      <c r="C3" s="78" t="s">
        <v>4</v>
      </c>
      <c r="D3" s="125" t="s">
        <v>5</v>
      </c>
      <c r="E3" s="78" t="s">
        <v>6</v>
      </c>
      <c r="F3" s="126" t="s">
        <v>7</v>
      </c>
      <c r="G3" s="34" t="s">
        <v>8</v>
      </c>
      <c r="H3" s="34" t="s">
        <v>9</v>
      </c>
      <c r="I3" s="123" t="s">
        <v>10</v>
      </c>
      <c r="J3" s="98" t="s">
        <v>11</v>
      </c>
      <c r="K3" s="98" t="s">
        <v>12</v>
      </c>
      <c r="L3" s="98" t="s">
        <v>13</v>
      </c>
      <c r="M3" s="98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127">
        <v>1.0</v>
      </c>
      <c r="B4" s="128">
        <v>45269.0</v>
      </c>
      <c r="C4" s="80" t="s">
        <v>172</v>
      </c>
      <c r="D4" s="129" t="s">
        <v>320</v>
      </c>
      <c r="E4" s="127" t="s">
        <v>321</v>
      </c>
      <c r="F4" s="131">
        <v>1.0</v>
      </c>
      <c r="G4" s="132">
        <v>1800.0</v>
      </c>
      <c r="H4" s="132">
        <v>3600.0</v>
      </c>
      <c r="I4" s="132">
        <f t="shared" ref="I4:I30" si="3">H4-G4</f>
        <v>1800</v>
      </c>
      <c r="J4" s="34">
        <f t="shared" ref="J4:K4" si="1">SUM(H4:H42)</f>
        <v>65750</v>
      </c>
      <c r="K4" s="37">
        <f t="shared" si="1"/>
        <v>35650</v>
      </c>
      <c r="L4" s="39">
        <f t="shared" ref="L4:M4" si="2">J4/2</f>
        <v>32875</v>
      </c>
      <c r="M4" s="41">
        <f t="shared" si="2"/>
        <v>17825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127">
        <v>2.0</v>
      </c>
      <c r="B5" s="128">
        <v>45275.0</v>
      </c>
      <c r="C5" s="80" t="s">
        <v>306</v>
      </c>
      <c r="D5" s="129" t="s">
        <v>33</v>
      </c>
      <c r="E5" s="127" t="s">
        <v>322</v>
      </c>
      <c r="F5" s="131">
        <v>1.0</v>
      </c>
      <c r="G5" s="132">
        <v>750.0</v>
      </c>
      <c r="H5" s="132">
        <v>2500.0</v>
      </c>
      <c r="I5" s="132">
        <f t="shared" si="3"/>
        <v>1750</v>
      </c>
      <c r="J5" s="38"/>
      <c r="K5" s="38"/>
      <c r="L5" s="38"/>
      <c r="M5" s="38"/>
    </row>
    <row r="6" ht="18.75" customHeight="1">
      <c r="A6" s="127">
        <v>3.0</v>
      </c>
      <c r="B6" s="128">
        <v>45280.0</v>
      </c>
      <c r="C6" s="80" t="s">
        <v>55</v>
      </c>
      <c r="D6" s="129" t="s">
        <v>62</v>
      </c>
      <c r="E6" s="127" t="s">
        <v>47</v>
      </c>
      <c r="F6" s="131">
        <v>1.0</v>
      </c>
      <c r="G6" s="132">
        <v>3550.0</v>
      </c>
      <c r="H6" s="132">
        <v>6800.0</v>
      </c>
      <c r="I6" s="132">
        <f t="shared" si="3"/>
        <v>3250</v>
      </c>
      <c r="J6" s="38"/>
      <c r="K6" s="38"/>
      <c r="L6" s="38"/>
      <c r="M6" s="38"/>
      <c r="N6" s="57"/>
    </row>
    <row r="7" ht="18.75" customHeight="1">
      <c r="A7" s="127">
        <v>4.0</v>
      </c>
      <c r="B7" s="133">
        <v>45281.0</v>
      </c>
      <c r="C7" s="80" t="s">
        <v>228</v>
      </c>
      <c r="D7" s="137" t="s">
        <v>323</v>
      </c>
      <c r="E7" s="154" t="s">
        <v>93</v>
      </c>
      <c r="F7" s="131">
        <v>1.0</v>
      </c>
      <c r="G7" s="132">
        <v>2350.0</v>
      </c>
      <c r="H7" s="132">
        <v>4000.0</v>
      </c>
      <c r="I7" s="132">
        <f t="shared" si="3"/>
        <v>1650</v>
      </c>
      <c r="J7" s="38"/>
      <c r="K7" s="38"/>
      <c r="L7" s="38"/>
      <c r="M7" s="38"/>
    </row>
    <row r="8" ht="18.75" customHeight="1">
      <c r="A8" s="127">
        <v>5.0</v>
      </c>
      <c r="B8" s="138">
        <v>45285.0</v>
      </c>
      <c r="C8" s="80" t="s">
        <v>163</v>
      </c>
      <c r="D8" s="139" t="s">
        <v>113</v>
      </c>
      <c r="E8" s="155" t="s">
        <v>147</v>
      </c>
      <c r="F8" s="131">
        <v>1.0</v>
      </c>
      <c r="G8" s="132">
        <v>2500.0</v>
      </c>
      <c r="H8" s="132">
        <v>4500.0</v>
      </c>
      <c r="I8" s="132">
        <f t="shared" si="3"/>
        <v>2000</v>
      </c>
      <c r="J8" s="38"/>
      <c r="K8" s="38"/>
      <c r="L8" s="38"/>
      <c r="M8" s="38"/>
      <c r="N8" s="83"/>
    </row>
    <row r="9" ht="18.75" customHeight="1">
      <c r="A9" s="127">
        <v>6.0</v>
      </c>
      <c r="B9" s="133">
        <v>45285.0</v>
      </c>
      <c r="C9" s="80" t="s">
        <v>163</v>
      </c>
      <c r="D9" s="135" t="s">
        <v>320</v>
      </c>
      <c r="E9" s="154" t="s">
        <v>57</v>
      </c>
      <c r="F9" s="131">
        <v>1.0</v>
      </c>
      <c r="G9" s="132">
        <v>2500.0</v>
      </c>
      <c r="H9" s="132">
        <v>4500.0</v>
      </c>
      <c r="I9" s="132">
        <f t="shared" si="3"/>
        <v>2000</v>
      </c>
      <c r="J9" s="38"/>
      <c r="K9" s="38"/>
      <c r="L9" s="38"/>
      <c r="M9" s="38"/>
    </row>
    <row r="10" ht="18.75" customHeight="1">
      <c r="A10" s="127">
        <v>7.0</v>
      </c>
      <c r="B10" s="47"/>
      <c r="C10" s="80" t="s">
        <v>324</v>
      </c>
      <c r="D10" s="47"/>
      <c r="E10" s="47"/>
      <c r="F10" s="131">
        <v>1.0</v>
      </c>
      <c r="G10" s="132">
        <v>750.0</v>
      </c>
      <c r="H10" s="132">
        <v>1400.0</v>
      </c>
      <c r="I10" s="132">
        <f t="shared" si="3"/>
        <v>650</v>
      </c>
      <c r="J10" s="38"/>
      <c r="K10" s="38"/>
      <c r="L10" s="38"/>
      <c r="M10" s="38"/>
      <c r="N10" s="83"/>
    </row>
    <row r="11" ht="18.75" customHeight="1">
      <c r="A11" s="127">
        <v>8.0</v>
      </c>
      <c r="B11" s="141">
        <v>45285.0</v>
      </c>
      <c r="C11" s="80" t="s">
        <v>325</v>
      </c>
      <c r="D11" s="137" t="s">
        <v>36</v>
      </c>
      <c r="E11" s="154" t="s">
        <v>257</v>
      </c>
      <c r="F11" s="131">
        <v>1.0</v>
      </c>
      <c r="G11" s="132"/>
      <c r="H11" s="132">
        <v>8550.0</v>
      </c>
      <c r="I11" s="132">
        <f t="shared" si="3"/>
        <v>8550</v>
      </c>
      <c r="J11" s="38"/>
      <c r="K11" s="38"/>
      <c r="L11" s="38"/>
      <c r="M11" s="38"/>
      <c r="N11" s="83"/>
    </row>
    <row r="12" ht="18.75" customHeight="1">
      <c r="A12" s="127">
        <v>9.0</v>
      </c>
      <c r="B12" s="138">
        <v>45286.0</v>
      </c>
      <c r="C12" s="80" t="s">
        <v>224</v>
      </c>
      <c r="D12" s="139" t="s">
        <v>326</v>
      </c>
      <c r="E12" s="155" t="s">
        <v>31</v>
      </c>
      <c r="F12" s="131">
        <v>1.0</v>
      </c>
      <c r="G12" s="132">
        <v>2500.0</v>
      </c>
      <c r="H12" s="132">
        <v>4500.0</v>
      </c>
      <c r="I12" s="132">
        <f t="shared" si="3"/>
        <v>2000</v>
      </c>
      <c r="J12" s="38"/>
      <c r="K12" s="38"/>
      <c r="L12" s="38"/>
      <c r="M12" s="38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8.75" customHeight="1">
      <c r="A13" s="127">
        <v>10.0</v>
      </c>
      <c r="B13" s="133">
        <v>45287.0</v>
      </c>
      <c r="C13" s="80" t="s">
        <v>90</v>
      </c>
      <c r="D13" s="137" t="s">
        <v>155</v>
      </c>
      <c r="E13" s="154" t="s">
        <v>28</v>
      </c>
      <c r="F13" s="131">
        <v>1.0</v>
      </c>
      <c r="G13" s="132">
        <v>3000.0</v>
      </c>
      <c r="H13" s="132">
        <v>5400.0</v>
      </c>
      <c r="I13" s="132">
        <f t="shared" si="3"/>
        <v>2400</v>
      </c>
      <c r="J13" s="38"/>
      <c r="K13" s="38"/>
      <c r="L13" s="38"/>
      <c r="M13" s="38"/>
    </row>
    <row r="14" ht="18.75" customHeight="1">
      <c r="A14" s="127">
        <v>11.0</v>
      </c>
      <c r="B14" s="142">
        <v>45291.0</v>
      </c>
      <c r="C14" s="80" t="s">
        <v>327</v>
      </c>
      <c r="D14" s="143" t="s">
        <v>59</v>
      </c>
      <c r="E14" s="156" t="s">
        <v>95</v>
      </c>
      <c r="F14" s="131">
        <v>1.0</v>
      </c>
      <c r="G14" s="132">
        <v>3550.0</v>
      </c>
      <c r="H14" s="132">
        <v>6800.0</v>
      </c>
      <c r="I14" s="132">
        <f t="shared" si="3"/>
        <v>3250</v>
      </c>
      <c r="J14" s="38"/>
      <c r="K14" s="38"/>
      <c r="L14" s="38"/>
      <c r="M14" s="38"/>
      <c r="N14" s="83"/>
    </row>
    <row r="15" ht="18.75" customHeight="1">
      <c r="A15" s="127">
        <v>12.0</v>
      </c>
      <c r="B15" s="138">
        <v>44928.0</v>
      </c>
      <c r="C15" s="80" t="s">
        <v>324</v>
      </c>
      <c r="D15" s="143" t="s">
        <v>39</v>
      </c>
      <c r="E15" s="156" t="s">
        <v>31</v>
      </c>
      <c r="F15" s="131">
        <v>1.0</v>
      </c>
      <c r="G15" s="132">
        <v>750.0</v>
      </c>
      <c r="H15" s="132">
        <v>1400.0</v>
      </c>
      <c r="I15" s="132">
        <f t="shared" si="3"/>
        <v>650</v>
      </c>
      <c r="J15" s="38"/>
      <c r="K15" s="38"/>
      <c r="L15" s="38"/>
      <c r="M15" s="38"/>
    </row>
    <row r="16" ht="18.75" customHeight="1">
      <c r="A16" s="127">
        <v>13.0</v>
      </c>
      <c r="B16" s="128">
        <v>45264.0</v>
      </c>
      <c r="C16" s="80" t="s">
        <v>324</v>
      </c>
      <c r="D16" s="139" t="s">
        <v>203</v>
      </c>
      <c r="E16" s="155" t="s">
        <v>28</v>
      </c>
      <c r="F16" s="131">
        <v>1.0</v>
      </c>
      <c r="G16" s="132">
        <v>750.0</v>
      </c>
      <c r="H16" s="132">
        <v>1400.0</v>
      </c>
      <c r="I16" s="132">
        <f t="shared" si="3"/>
        <v>650</v>
      </c>
      <c r="J16" s="38"/>
      <c r="K16" s="38"/>
      <c r="L16" s="38"/>
      <c r="M16" s="38"/>
    </row>
    <row r="17" ht="18.75" customHeight="1">
      <c r="A17" s="127">
        <v>14.0</v>
      </c>
      <c r="B17" s="133">
        <v>45265.0</v>
      </c>
      <c r="C17" s="85" t="s">
        <v>172</v>
      </c>
      <c r="D17" s="135" t="s">
        <v>328</v>
      </c>
      <c r="E17" s="154" t="s">
        <v>47</v>
      </c>
      <c r="F17" s="131">
        <v>1.0</v>
      </c>
      <c r="G17" s="145">
        <v>1800.0</v>
      </c>
      <c r="H17" s="132">
        <v>3600.0</v>
      </c>
      <c r="I17" s="132">
        <f t="shared" si="3"/>
        <v>1800</v>
      </c>
      <c r="J17" s="38"/>
      <c r="K17" s="38"/>
      <c r="L17" s="38"/>
      <c r="M17" s="38"/>
      <c r="N17" s="83"/>
    </row>
    <row r="18" ht="18.75" customHeight="1">
      <c r="A18" s="127">
        <v>15.0</v>
      </c>
      <c r="B18" s="47"/>
      <c r="C18" s="86" t="s">
        <v>55</v>
      </c>
      <c r="D18" s="47"/>
      <c r="E18" s="47"/>
      <c r="F18" s="131">
        <v>1.0</v>
      </c>
      <c r="G18" s="132">
        <v>3550.0</v>
      </c>
      <c r="H18" s="132">
        <v>6800.0</v>
      </c>
      <c r="I18" s="132">
        <f t="shared" si="3"/>
        <v>3250</v>
      </c>
      <c r="J18" s="38"/>
      <c r="K18" s="38"/>
      <c r="L18" s="38"/>
      <c r="M18" s="38"/>
      <c r="N18" s="83"/>
    </row>
    <row r="19" ht="18.75" customHeight="1">
      <c r="A19" s="127">
        <v>16.0</v>
      </c>
      <c r="B19" s="133"/>
      <c r="C19" s="86"/>
      <c r="D19" s="135"/>
      <c r="E19" s="154"/>
      <c r="F19" s="131"/>
      <c r="G19" s="132"/>
      <c r="H19" s="132"/>
      <c r="I19" s="132">
        <f t="shared" si="3"/>
        <v>0</v>
      </c>
      <c r="J19" s="38"/>
      <c r="K19" s="38"/>
      <c r="L19" s="38"/>
      <c r="M19" s="38"/>
      <c r="N19" s="83"/>
    </row>
    <row r="20" ht="18.75" customHeight="1">
      <c r="A20" s="127">
        <v>17.0</v>
      </c>
      <c r="B20" s="146"/>
      <c r="C20" s="86"/>
      <c r="D20" s="147"/>
      <c r="E20" s="157"/>
      <c r="F20" s="131"/>
      <c r="G20" s="145"/>
      <c r="H20" s="132"/>
      <c r="I20" s="132">
        <f t="shared" si="3"/>
        <v>0</v>
      </c>
      <c r="J20" s="38"/>
      <c r="K20" s="38"/>
      <c r="L20" s="38"/>
      <c r="M20" s="38"/>
    </row>
    <row r="21" ht="18.75" customHeight="1">
      <c r="A21" s="127">
        <v>18.0</v>
      </c>
      <c r="B21" s="148"/>
      <c r="C21" s="86"/>
      <c r="D21" s="149"/>
      <c r="E21" s="158"/>
      <c r="F21" s="131"/>
      <c r="G21" s="145"/>
      <c r="H21" s="132"/>
      <c r="I21" s="132">
        <f t="shared" si="3"/>
        <v>0</v>
      </c>
      <c r="J21" s="38"/>
      <c r="K21" s="38"/>
      <c r="L21" s="38"/>
      <c r="M21" s="38"/>
    </row>
    <row r="22" ht="18.75" customHeight="1">
      <c r="A22" s="127">
        <v>19.0</v>
      </c>
      <c r="B22" s="144"/>
      <c r="C22" s="86"/>
      <c r="D22" s="86"/>
      <c r="E22" s="127"/>
      <c r="F22" s="131"/>
      <c r="G22" s="132"/>
      <c r="H22" s="132"/>
      <c r="I22" s="132">
        <f t="shared" si="3"/>
        <v>0</v>
      </c>
      <c r="J22" s="38"/>
      <c r="K22" s="38"/>
      <c r="L22" s="38"/>
      <c r="M22" s="38"/>
    </row>
    <row r="23" ht="18.75" customHeight="1">
      <c r="A23" s="127">
        <v>20.0</v>
      </c>
      <c r="B23" s="144"/>
      <c r="C23" s="86"/>
      <c r="D23" s="86"/>
      <c r="E23" s="127"/>
      <c r="F23" s="131"/>
      <c r="G23" s="132"/>
      <c r="H23" s="132"/>
      <c r="I23" s="132">
        <f t="shared" si="3"/>
        <v>0</v>
      </c>
      <c r="J23" s="38"/>
      <c r="K23" s="38"/>
      <c r="L23" s="38"/>
      <c r="M23" s="38"/>
    </row>
    <row r="24" ht="18.75" customHeight="1">
      <c r="A24" s="127">
        <v>21.0</v>
      </c>
      <c r="B24" s="144"/>
      <c r="C24" s="86"/>
      <c r="D24" s="86"/>
      <c r="E24" s="127"/>
      <c r="F24" s="131"/>
      <c r="G24" s="132"/>
      <c r="H24" s="132"/>
      <c r="I24" s="132">
        <f t="shared" si="3"/>
        <v>0</v>
      </c>
      <c r="J24" s="38"/>
      <c r="K24" s="38"/>
      <c r="L24" s="38"/>
      <c r="M24" s="38"/>
    </row>
    <row r="25" ht="18.75" customHeight="1">
      <c r="A25" s="127">
        <v>22.0</v>
      </c>
      <c r="B25" s="144"/>
      <c r="C25" s="86"/>
      <c r="D25" s="86"/>
      <c r="E25" s="127"/>
      <c r="F25" s="131"/>
      <c r="G25" s="132"/>
      <c r="H25" s="132"/>
      <c r="I25" s="132">
        <f t="shared" si="3"/>
        <v>0</v>
      </c>
      <c r="J25" s="38"/>
      <c r="K25" s="38"/>
      <c r="L25" s="38"/>
      <c r="M25" s="38"/>
    </row>
    <row r="26" ht="18.75" customHeight="1">
      <c r="A26" s="127">
        <v>23.0</v>
      </c>
      <c r="B26" s="144"/>
      <c r="C26" s="86"/>
      <c r="D26" s="86"/>
      <c r="E26" s="127"/>
      <c r="F26" s="131"/>
      <c r="G26" s="132"/>
      <c r="H26" s="132"/>
      <c r="I26" s="132">
        <f t="shared" si="3"/>
        <v>0</v>
      </c>
      <c r="J26" s="38"/>
      <c r="K26" s="38"/>
      <c r="L26" s="38"/>
      <c r="M26" s="38"/>
    </row>
    <row r="27" ht="18.75" customHeight="1">
      <c r="A27" s="127">
        <v>24.0</v>
      </c>
      <c r="B27" s="144"/>
      <c r="C27" s="86"/>
      <c r="D27" s="86"/>
      <c r="E27" s="127"/>
      <c r="F27" s="131"/>
      <c r="G27" s="132"/>
      <c r="H27" s="132"/>
      <c r="I27" s="132">
        <f t="shared" si="3"/>
        <v>0</v>
      </c>
      <c r="J27" s="38"/>
      <c r="K27" s="38"/>
      <c r="L27" s="38"/>
      <c r="M27" s="38"/>
    </row>
    <row r="28" ht="18.75" customHeight="1">
      <c r="A28" s="127">
        <v>25.0</v>
      </c>
      <c r="B28" s="144"/>
      <c r="C28" s="86"/>
      <c r="D28" s="86"/>
      <c r="E28" s="127"/>
      <c r="F28" s="131"/>
      <c r="G28" s="132"/>
      <c r="H28" s="132"/>
      <c r="I28" s="132">
        <f t="shared" si="3"/>
        <v>0</v>
      </c>
      <c r="J28" s="38"/>
      <c r="K28" s="38"/>
      <c r="L28" s="38"/>
      <c r="M28" s="38"/>
    </row>
    <row r="29" ht="18.75" customHeight="1">
      <c r="A29" s="127">
        <v>26.0</v>
      </c>
      <c r="B29" s="144"/>
      <c r="C29" s="86"/>
      <c r="D29" s="86"/>
      <c r="E29" s="127"/>
      <c r="F29" s="131"/>
      <c r="G29" s="132"/>
      <c r="H29" s="132"/>
      <c r="I29" s="132">
        <f t="shared" si="3"/>
        <v>0</v>
      </c>
      <c r="J29" s="38"/>
      <c r="K29" s="38"/>
      <c r="L29" s="38"/>
      <c r="M29" s="38"/>
    </row>
    <row r="30" ht="18.75" customHeight="1">
      <c r="A30" s="127">
        <v>27.0</v>
      </c>
      <c r="B30" s="144"/>
      <c r="C30" s="86"/>
      <c r="D30" s="86"/>
      <c r="E30" s="127"/>
      <c r="F30" s="131"/>
      <c r="G30" s="132"/>
      <c r="H30" s="132"/>
      <c r="I30" s="132">
        <f t="shared" si="3"/>
        <v>0</v>
      </c>
      <c r="J30" s="47"/>
      <c r="K30" s="47"/>
      <c r="L30" s="47"/>
      <c r="M30" s="47"/>
    </row>
    <row r="31" ht="18.75" customHeight="1">
      <c r="A31" s="150"/>
      <c r="B31" s="151"/>
      <c r="C31" s="87"/>
      <c r="D31" s="87"/>
      <c r="E31" s="150"/>
      <c r="F31" s="152">
        <f>SUM(F4:F30)</f>
        <v>15</v>
      </c>
      <c r="G31" s="153"/>
      <c r="H31" s="153"/>
      <c r="I31" s="150"/>
      <c r="J31" s="150"/>
      <c r="K31" s="150"/>
      <c r="L31" s="150"/>
      <c r="M31" s="150"/>
    </row>
    <row r="32" ht="18.75" customHeight="1">
      <c r="A32" s="72"/>
      <c r="B32" s="73"/>
      <c r="C32" s="87"/>
      <c r="D32" s="74"/>
      <c r="E32" s="72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2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2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2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2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2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2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2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2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2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2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2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2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2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2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2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2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2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2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2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2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2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2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2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2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2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2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2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2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2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2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2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2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2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2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2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2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2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2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2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2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2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2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2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2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2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2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2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2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2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2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2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2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2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2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2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2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2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2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2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2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2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2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2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2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2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2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2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2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2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2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2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2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2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2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2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2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2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2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2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2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2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2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2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2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2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2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2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2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2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2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2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2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2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2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2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2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2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2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2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2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2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2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2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2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2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2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2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2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2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2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2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2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2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2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2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2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2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2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2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2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2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2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2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2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2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2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2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2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2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2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2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2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2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2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2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2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2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2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2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2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2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2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2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2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2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2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2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2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2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2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2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2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2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2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2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2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2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2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2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2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2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2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2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2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2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2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2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2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2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2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2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2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2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2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2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2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2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2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2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2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2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2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2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2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2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2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2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2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2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2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2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2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2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2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2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2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2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2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2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2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2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2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9:B10"/>
    <mergeCell ref="B17:B18"/>
    <mergeCell ref="D17:D18"/>
    <mergeCell ref="E17:E18"/>
    <mergeCell ref="A1:M2"/>
    <mergeCell ref="J4:J30"/>
    <mergeCell ref="K4:K30"/>
    <mergeCell ref="L4:L30"/>
    <mergeCell ref="M4:M30"/>
    <mergeCell ref="D9:D10"/>
    <mergeCell ref="E9:E10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5.0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23" t="s">
        <v>2</v>
      </c>
      <c r="B3" s="124" t="s">
        <v>3</v>
      </c>
      <c r="C3" s="78" t="s">
        <v>4</v>
      </c>
      <c r="D3" s="125" t="s">
        <v>5</v>
      </c>
      <c r="E3" s="125" t="s">
        <v>6</v>
      </c>
      <c r="F3" s="126" t="s">
        <v>7</v>
      </c>
      <c r="G3" s="34" t="s">
        <v>8</v>
      </c>
      <c r="H3" s="34" t="s">
        <v>9</v>
      </c>
      <c r="I3" s="123" t="s">
        <v>10</v>
      </c>
      <c r="J3" s="98" t="s">
        <v>11</v>
      </c>
      <c r="K3" s="98" t="s">
        <v>12</v>
      </c>
      <c r="L3" s="98" t="s">
        <v>13</v>
      </c>
      <c r="M3" s="98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127">
        <v>1.0</v>
      </c>
      <c r="B4" s="128">
        <v>45300.0</v>
      </c>
      <c r="C4" s="80" t="s">
        <v>330</v>
      </c>
      <c r="D4" s="129" t="s">
        <v>87</v>
      </c>
      <c r="E4" s="86" t="s">
        <v>311</v>
      </c>
      <c r="F4" s="131">
        <v>1.0</v>
      </c>
      <c r="G4" s="132">
        <v>2500.0</v>
      </c>
      <c r="H4" s="132">
        <v>4600.0</v>
      </c>
      <c r="I4" s="132">
        <f t="shared" ref="I4:I30" si="3">H4-G4</f>
        <v>2100</v>
      </c>
      <c r="J4" s="34">
        <f t="shared" ref="J4:K4" si="1">SUM(H4:H42)</f>
        <v>84100</v>
      </c>
      <c r="K4" s="37">
        <f t="shared" si="1"/>
        <v>45400</v>
      </c>
      <c r="L4" s="39">
        <f t="shared" ref="L4:M4" si="2">J4/2</f>
        <v>42050</v>
      </c>
      <c r="M4" s="41">
        <f t="shared" si="2"/>
        <v>22700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127">
        <v>2.0</v>
      </c>
      <c r="B5" s="128">
        <v>45301.0</v>
      </c>
      <c r="C5" s="80" t="s">
        <v>142</v>
      </c>
      <c r="D5" s="129" t="s">
        <v>50</v>
      </c>
      <c r="E5" s="86" t="s">
        <v>23</v>
      </c>
      <c r="F5" s="131">
        <v>1.0</v>
      </c>
      <c r="G5" s="132">
        <v>1800.0</v>
      </c>
      <c r="H5" s="132">
        <v>5000.0</v>
      </c>
      <c r="I5" s="132">
        <f t="shared" si="3"/>
        <v>3200</v>
      </c>
      <c r="J5" s="38"/>
      <c r="K5" s="38"/>
      <c r="L5" s="38"/>
      <c r="M5" s="38"/>
    </row>
    <row r="6" ht="18.75" customHeight="1">
      <c r="A6" s="127">
        <v>3.0</v>
      </c>
      <c r="B6" s="128">
        <v>45306.0</v>
      </c>
      <c r="C6" s="80" t="s">
        <v>137</v>
      </c>
      <c r="D6" s="129" t="s">
        <v>331</v>
      </c>
      <c r="E6" s="86" t="s">
        <v>57</v>
      </c>
      <c r="F6" s="131">
        <v>1.0</v>
      </c>
      <c r="G6" s="132">
        <v>3550.0</v>
      </c>
      <c r="H6" s="132">
        <v>6800.0</v>
      </c>
      <c r="I6" s="132">
        <f t="shared" si="3"/>
        <v>3250</v>
      </c>
      <c r="J6" s="38"/>
      <c r="K6" s="38"/>
      <c r="L6" s="38"/>
      <c r="M6" s="38"/>
      <c r="N6" s="57"/>
    </row>
    <row r="7" ht="18.75" customHeight="1">
      <c r="A7" s="127">
        <v>4.0</v>
      </c>
      <c r="B7" s="133">
        <v>45307.0</v>
      </c>
      <c r="C7" s="80" t="s">
        <v>142</v>
      </c>
      <c r="D7" s="137" t="s">
        <v>332</v>
      </c>
      <c r="E7" s="137" t="s">
        <v>168</v>
      </c>
      <c r="F7" s="131">
        <v>1.0</v>
      </c>
      <c r="G7" s="132">
        <v>1800.0</v>
      </c>
      <c r="H7" s="132">
        <v>5000.0</v>
      </c>
      <c r="I7" s="132">
        <f t="shared" si="3"/>
        <v>3200</v>
      </c>
      <c r="J7" s="38"/>
      <c r="K7" s="38"/>
      <c r="L7" s="38"/>
      <c r="M7" s="38"/>
    </row>
    <row r="8" ht="18.75" customHeight="1">
      <c r="A8" s="127">
        <v>5.0</v>
      </c>
      <c r="B8" s="138">
        <v>45308.0</v>
      </c>
      <c r="C8" s="80" t="s">
        <v>40</v>
      </c>
      <c r="D8" s="139" t="s">
        <v>72</v>
      </c>
      <c r="E8" s="139" t="s">
        <v>283</v>
      </c>
      <c r="F8" s="131">
        <v>1.0</v>
      </c>
      <c r="G8" s="132">
        <v>2500.0</v>
      </c>
      <c r="H8" s="132">
        <v>4500.0</v>
      </c>
      <c r="I8" s="132">
        <f t="shared" si="3"/>
        <v>2000</v>
      </c>
      <c r="J8" s="38"/>
      <c r="K8" s="38"/>
      <c r="L8" s="38"/>
      <c r="M8" s="38"/>
      <c r="N8" s="83"/>
    </row>
    <row r="9" ht="18.75" customHeight="1">
      <c r="A9" s="127">
        <v>6.0</v>
      </c>
      <c r="B9" s="128">
        <v>45309.0</v>
      </c>
      <c r="C9" s="80" t="s">
        <v>137</v>
      </c>
      <c r="D9" s="129" t="s">
        <v>72</v>
      </c>
      <c r="E9" s="86" t="s">
        <v>61</v>
      </c>
      <c r="F9" s="131">
        <v>1.0</v>
      </c>
      <c r="G9" s="132">
        <v>3550.0</v>
      </c>
      <c r="H9" s="132">
        <v>6800.0</v>
      </c>
      <c r="I9" s="132">
        <f t="shared" si="3"/>
        <v>3250</v>
      </c>
      <c r="J9" s="38"/>
      <c r="K9" s="38"/>
      <c r="L9" s="38"/>
      <c r="M9" s="38"/>
    </row>
    <row r="10" ht="18.75" customHeight="1">
      <c r="A10" s="127">
        <v>7.0</v>
      </c>
      <c r="B10" s="128">
        <v>45309.0</v>
      </c>
      <c r="C10" s="80" t="s">
        <v>75</v>
      </c>
      <c r="D10" s="129" t="s">
        <v>336</v>
      </c>
      <c r="E10" s="86" t="s">
        <v>61</v>
      </c>
      <c r="F10" s="131">
        <v>1.0</v>
      </c>
      <c r="G10" s="132">
        <v>1800.0</v>
      </c>
      <c r="H10" s="132">
        <v>3600.0</v>
      </c>
      <c r="I10" s="132">
        <f t="shared" si="3"/>
        <v>1800</v>
      </c>
      <c r="J10" s="38"/>
      <c r="K10" s="38"/>
      <c r="L10" s="38"/>
      <c r="M10" s="38"/>
      <c r="N10" s="83"/>
    </row>
    <row r="11" ht="18.75" customHeight="1">
      <c r="A11" s="127">
        <v>8.0</v>
      </c>
      <c r="B11" s="133">
        <v>45310.0</v>
      </c>
      <c r="C11" s="80" t="s">
        <v>337</v>
      </c>
      <c r="D11" s="137" t="s">
        <v>62</v>
      </c>
      <c r="E11" s="137" t="s">
        <v>283</v>
      </c>
      <c r="F11" s="131">
        <v>1.0</v>
      </c>
      <c r="G11" s="132">
        <v>750.0</v>
      </c>
      <c r="H11" s="132">
        <v>1400.0</v>
      </c>
      <c r="I11" s="132">
        <f t="shared" si="3"/>
        <v>650</v>
      </c>
      <c r="J11" s="38"/>
      <c r="K11" s="38"/>
      <c r="L11" s="38"/>
      <c r="M11" s="38"/>
      <c r="N11" s="83"/>
    </row>
    <row r="12" ht="18.75" customHeight="1">
      <c r="A12" s="127">
        <v>9.0</v>
      </c>
      <c r="B12" s="138">
        <v>45312.0</v>
      </c>
      <c r="C12" s="80" t="s">
        <v>163</v>
      </c>
      <c r="D12" s="139" t="s">
        <v>36</v>
      </c>
      <c r="E12" s="139" t="s">
        <v>31</v>
      </c>
      <c r="F12" s="131">
        <v>1.0</v>
      </c>
      <c r="G12" s="132">
        <v>2500.0</v>
      </c>
      <c r="H12" s="132">
        <v>4500.0</v>
      </c>
      <c r="I12" s="132">
        <f t="shared" si="3"/>
        <v>2000</v>
      </c>
      <c r="J12" s="38"/>
      <c r="K12" s="38"/>
      <c r="L12" s="38"/>
      <c r="M12" s="38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8.75" customHeight="1">
      <c r="A13" s="127">
        <v>10.0</v>
      </c>
      <c r="B13" s="133">
        <v>45314.0</v>
      </c>
      <c r="C13" s="80" t="s">
        <v>172</v>
      </c>
      <c r="D13" s="137" t="s">
        <v>338</v>
      </c>
      <c r="E13" s="137" t="s">
        <v>339</v>
      </c>
      <c r="F13" s="131">
        <v>1.0</v>
      </c>
      <c r="G13" s="132">
        <v>1800.0</v>
      </c>
      <c r="H13" s="132">
        <v>3600.0</v>
      </c>
      <c r="I13" s="132">
        <f t="shared" si="3"/>
        <v>1800</v>
      </c>
      <c r="J13" s="38"/>
      <c r="K13" s="38"/>
      <c r="L13" s="38"/>
      <c r="M13" s="38"/>
    </row>
    <row r="14" ht="18.75" customHeight="1">
      <c r="A14" s="127">
        <v>11.0</v>
      </c>
      <c r="B14" s="142">
        <v>45318.0</v>
      </c>
      <c r="C14" s="80" t="s">
        <v>163</v>
      </c>
      <c r="D14" s="143" t="s">
        <v>341</v>
      </c>
      <c r="E14" s="143" t="s">
        <v>147</v>
      </c>
      <c r="F14" s="131">
        <v>1.0</v>
      </c>
      <c r="G14" s="132">
        <v>2500.0</v>
      </c>
      <c r="H14" s="132">
        <v>4500.0</v>
      </c>
      <c r="I14" s="132">
        <f t="shared" si="3"/>
        <v>2000</v>
      </c>
      <c r="J14" s="38"/>
      <c r="K14" s="38"/>
      <c r="L14" s="38"/>
      <c r="M14" s="38"/>
      <c r="N14" s="83"/>
    </row>
    <row r="15" ht="18.75" customHeight="1">
      <c r="A15" s="127">
        <v>12.0</v>
      </c>
      <c r="B15" s="161">
        <v>45319.0</v>
      </c>
      <c r="C15" s="80" t="s">
        <v>343</v>
      </c>
      <c r="D15" s="143" t="s">
        <v>318</v>
      </c>
      <c r="E15" s="143" t="s">
        <v>134</v>
      </c>
      <c r="F15" s="131">
        <v>1.0</v>
      </c>
      <c r="G15" s="132"/>
      <c r="H15" s="132">
        <v>2200.0</v>
      </c>
      <c r="I15" s="132">
        <f t="shared" si="3"/>
        <v>2200</v>
      </c>
      <c r="J15" s="38"/>
      <c r="K15" s="38"/>
      <c r="L15" s="38"/>
      <c r="M15" s="38"/>
    </row>
    <row r="16" ht="18.75" customHeight="1">
      <c r="A16" s="127">
        <v>13.0</v>
      </c>
      <c r="B16" s="128">
        <v>45320.0</v>
      </c>
      <c r="C16" s="80" t="s">
        <v>337</v>
      </c>
      <c r="D16" s="139" t="s">
        <v>88</v>
      </c>
      <c r="E16" s="139" t="s">
        <v>347</v>
      </c>
      <c r="F16" s="131">
        <v>4.0</v>
      </c>
      <c r="G16" s="132">
        <v>3000.0</v>
      </c>
      <c r="H16" s="132">
        <v>5600.0</v>
      </c>
      <c r="I16" s="132">
        <f t="shared" si="3"/>
        <v>2600</v>
      </c>
      <c r="J16" s="38"/>
      <c r="K16" s="38"/>
      <c r="L16" s="38"/>
      <c r="M16" s="38"/>
    </row>
    <row r="17" ht="18.75" customHeight="1">
      <c r="A17" s="127">
        <v>14.0</v>
      </c>
      <c r="B17" s="133">
        <v>45321.0</v>
      </c>
      <c r="C17" s="85" t="s">
        <v>163</v>
      </c>
      <c r="D17" s="154" t="s">
        <v>116</v>
      </c>
      <c r="E17" s="154" t="s">
        <v>47</v>
      </c>
      <c r="F17" s="131">
        <v>1.0</v>
      </c>
      <c r="G17" s="145">
        <v>2500.0</v>
      </c>
      <c r="H17" s="132">
        <v>4500.0</v>
      </c>
      <c r="I17" s="132">
        <f t="shared" si="3"/>
        <v>2000</v>
      </c>
      <c r="J17" s="38"/>
      <c r="K17" s="38"/>
      <c r="L17" s="38"/>
      <c r="M17" s="38"/>
      <c r="N17" s="83"/>
    </row>
    <row r="18" ht="18.75" customHeight="1">
      <c r="A18" s="127">
        <v>15.0</v>
      </c>
      <c r="B18" s="47"/>
      <c r="C18" s="86" t="s">
        <v>359</v>
      </c>
      <c r="D18" s="47"/>
      <c r="E18" s="47"/>
      <c r="F18" s="131">
        <v>1.0</v>
      </c>
      <c r="G18" s="132">
        <v>7500.0</v>
      </c>
      <c r="H18" s="132">
        <v>15300.0</v>
      </c>
      <c r="I18" s="132">
        <f t="shared" si="3"/>
        <v>7800</v>
      </c>
      <c r="J18" s="38"/>
      <c r="K18" s="38"/>
      <c r="L18" s="38"/>
      <c r="M18" s="38"/>
      <c r="N18" s="83"/>
    </row>
    <row r="19" ht="18.75" customHeight="1">
      <c r="A19" s="127">
        <v>16.0</v>
      </c>
      <c r="B19" s="133" t="s">
        <v>364</v>
      </c>
      <c r="C19" s="86" t="s">
        <v>268</v>
      </c>
      <c r="D19" s="135" t="s">
        <v>365</v>
      </c>
      <c r="E19" s="135" t="s">
        <v>366</v>
      </c>
      <c r="F19" s="131">
        <v>1.0</v>
      </c>
      <c r="G19" s="132">
        <v>650.0</v>
      </c>
      <c r="H19" s="132">
        <v>1800.0</v>
      </c>
      <c r="I19" s="132">
        <f t="shared" si="3"/>
        <v>1150</v>
      </c>
      <c r="J19" s="38"/>
      <c r="K19" s="38"/>
      <c r="L19" s="38"/>
      <c r="M19" s="38"/>
      <c r="N19" s="83"/>
    </row>
    <row r="20" ht="18.75" customHeight="1">
      <c r="A20" s="127">
        <v>17.0</v>
      </c>
      <c r="B20" s="146">
        <v>45327.0</v>
      </c>
      <c r="C20" s="86" t="s">
        <v>369</v>
      </c>
      <c r="D20" s="147" t="s">
        <v>320</v>
      </c>
      <c r="E20" s="147" t="s">
        <v>57</v>
      </c>
      <c r="F20" s="131">
        <v>2.0</v>
      </c>
      <c r="G20" s="145"/>
      <c r="H20" s="132">
        <v>4400.0</v>
      </c>
      <c r="I20" s="132">
        <f t="shared" si="3"/>
        <v>4400</v>
      </c>
      <c r="J20" s="38"/>
      <c r="K20" s="38"/>
      <c r="L20" s="38"/>
      <c r="M20" s="38"/>
    </row>
    <row r="21" ht="18.75" customHeight="1">
      <c r="A21" s="127">
        <v>18.0</v>
      </c>
      <c r="B21" s="148"/>
      <c r="C21" s="86"/>
      <c r="D21" s="149"/>
      <c r="E21" s="149"/>
      <c r="F21" s="131"/>
      <c r="G21" s="145"/>
      <c r="H21" s="132"/>
      <c r="I21" s="132">
        <f t="shared" si="3"/>
        <v>0</v>
      </c>
      <c r="J21" s="38"/>
      <c r="K21" s="38"/>
      <c r="L21" s="38"/>
      <c r="M21" s="38"/>
    </row>
    <row r="22" ht="18.75" customHeight="1">
      <c r="A22" s="127">
        <v>19.0</v>
      </c>
      <c r="B22" s="144"/>
      <c r="C22" s="86"/>
      <c r="D22" s="86"/>
      <c r="E22" s="86"/>
      <c r="F22" s="131"/>
      <c r="G22" s="132"/>
      <c r="H22" s="132"/>
      <c r="I22" s="132">
        <f t="shared" si="3"/>
        <v>0</v>
      </c>
      <c r="J22" s="38"/>
      <c r="K22" s="38"/>
      <c r="L22" s="38"/>
      <c r="M22" s="38"/>
    </row>
    <row r="23" ht="18.75" customHeight="1">
      <c r="A23" s="127">
        <v>20.0</v>
      </c>
      <c r="B23" s="144"/>
      <c r="C23" s="86"/>
      <c r="D23" s="86"/>
      <c r="E23" s="86"/>
      <c r="F23" s="131"/>
      <c r="G23" s="132"/>
      <c r="H23" s="132"/>
      <c r="I23" s="132">
        <f t="shared" si="3"/>
        <v>0</v>
      </c>
      <c r="J23" s="38"/>
      <c r="K23" s="38"/>
      <c r="L23" s="38"/>
      <c r="M23" s="38"/>
    </row>
    <row r="24" ht="18.75" customHeight="1">
      <c r="A24" s="127">
        <v>21.0</v>
      </c>
      <c r="B24" s="144"/>
      <c r="C24" s="86"/>
      <c r="D24" s="86"/>
      <c r="E24" s="86"/>
      <c r="F24" s="131"/>
      <c r="G24" s="132"/>
      <c r="H24" s="132"/>
      <c r="I24" s="132">
        <f t="shared" si="3"/>
        <v>0</v>
      </c>
      <c r="J24" s="38"/>
      <c r="K24" s="38"/>
      <c r="L24" s="38"/>
      <c r="M24" s="38"/>
    </row>
    <row r="25" ht="18.75" customHeight="1">
      <c r="A25" s="127">
        <v>22.0</v>
      </c>
      <c r="B25" s="144"/>
      <c r="C25" s="86"/>
      <c r="D25" s="86"/>
      <c r="E25" s="86"/>
      <c r="F25" s="131"/>
      <c r="G25" s="132"/>
      <c r="H25" s="132"/>
      <c r="I25" s="132">
        <f t="shared" si="3"/>
        <v>0</v>
      </c>
      <c r="J25" s="38"/>
      <c r="K25" s="38"/>
      <c r="L25" s="38"/>
      <c r="M25" s="38"/>
    </row>
    <row r="26" ht="18.75" customHeight="1">
      <c r="A26" s="127">
        <v>23.0</v>
      </c>
      <c r="B26" s="144"/>
      <c r="C26" s="86"/>
      <c r="D26" s="86"/>
      <c r="E26" s="86"/>
      <c r="F26" s="131"/>
      <c r="G26" s="132"/>
      <c r="H26" s="132"/>
      <c r="I26" s="132">
        <f t="shared" si="3"/>
        <v>0</v>
      </c>
      <c r="J26" s="38"/>
      <c r="K26" s="38"/>
      <c r="L26" s="38"/>
      <c r="M26" s="38"/>
    </row>
    <row r="27" ht="18.75" customHeight="1">
      <c r="A27" s="127">
        <v>24.0</v>
      </c>
      <c r="B27" s="144"/>
      <c r="C27" s="86"/>
      <c r="D27" s="86"/>
      <c r="E27" s="86"/>
      <c r="F27" s="131"/>
      <c r="G27" s="132"/>
      <c r="H27" s="132"/>
      <c r="I27" s="132">
        <f t="shared" si="3"/>
        <v>0</v>
      </c>
      <c r="J27" s="38"/>
      <c r="K27" s="38"/>
      <c r="L27" s="38"/>
      <c r="M27" s="38"/>
    </row>
    <row r="28" ht="18.75" customHeight="1">
      <c r="A28" s="127">
        <v>25.0</v>
      </c>
      <c r="B28" s="144"/>
      <c r="C28" s="86"/>
      <c r="D28" s="86"/>
      <c r="E28" s="86"/>
      <c r="F28" s="131"/>
      <c r="G28" s="132"/>
      <c r="H28" s="132"/>
      <c r="I28" s="132">
        <f t="shared" si="3"/>
        <v>0</v>
      </c>
      <c r="J28" s="38"/>
      <c r="K28" s="38"/>
      <c r="L28" s="38"/>
      <c r="M28" s="38"/>
    </row>
    <row r="29" ht="18.75" customHeight="1">
      <c r="A29" s="127">
        <v>26.0</v>
      </c>
      <c r="B29" s="144"/>
      <c r="C29" s="86"/>
      <c r="D29" s="86"/>
      <c r="E29" s="86"/>
      <c r="F29" s="131"/>
      <c r="G29" s="132"/>
      <c r="H29" s="132"/>
      <c r="I29" s="132">
        <f t="shared" si="3"/>
        <v>0</v>
      </c>
      <c r="J29" s="38"/>
      <c r="K29" s="38"/>
      <c r="L29" s="38"/>
      <c r="M29" s="38"/>
    </row>
    <row r="30" ht="18.75" customHeight="1">
      <c r="A30" s="127">
        <v>27.0</v>
      </c>
      <c r="B30" s="144"/>
      <c r="C30" s="86"/>
      <c r="D30" s="86"/>
      <c r="E30" s="86"/>
      <c r="F30" s="131"/>
      <c r="G30" s="132"/>
      <c r="H30" s="132"/>
      <c r="I30" s="132">
        <f t="shared" si="3"/>
        <v>0</v>
      </c>
      <c r="J30" s="47"/>
      <c r="K30" s="47"/>
      <c r="L30" s="47"/>
      <c r="M30" s="47"/>
    </row>
    <row r="31" ht="18.75" customHeight="1">
      <c r="A31" s="150"/>
      <c r="B31" s="151"/>
      <c r="C31" s="87"/>
      <c r="D31" s="87"/>
      <c r="E31" s="87"/>
      <c r="F31" s="152">
        <f>SUM(F4:F30)</f>
        <v>21</v>
      </c>
      <c r="G31" s="153"/>
      <c r="H31" s="153"/>
      <c r="I31" s="150"/>
      <c r="J31" s="150"/>
      <c r="K31" s="150"/>
      <c r="L31" s="150"/>
      <c r="M31" s="150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M2"/>
    <mergeCell ref="J4:J30"/>
    <mergeCell ref="K4:K30"/>
    <mergeCell ref="L4:L30"/>
    <mergeCell ref="M4:M30"/>
    <mergeCell ref="B17:B18"/>
    <mergeCell ref="D17:D18"/>
    <mergeCell ref="E17:E1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6.86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23" t="s">
        <v>2</v>
      </c>
      <c r="B3" s="124" t="s">
        <v>3</v>
      </c>
      <c r="C3" s="78" t="s">
        <v>4</v>
      </c>
      <c r="D3" s="125" t="s">
        <v>5</v>
      </c>
      <c r="E3" s="125" t="s">
        <v>6</v>
      </c>
      <c r="F3" s="126" t="s">
        <v>7</v>
      </c>
      <c r="G3" s="34" t="s">
        <v>8</v>
      </c>
      <c r="H3" s="34" t="s">
        <v>9</v>
      </c>
      <c r="I3" s="123" t="s">
        <v>10</v>
      </c>
      <c r="J3" s="98" t="s">
        <v>11</v>
      </c>
      <c r="K3" s="98" t="s">
        <v>12</v>
      </c>
      <c r="L3" s="98" t="s">
        <v>13</v>
      </c>
      <c r="M3" s="98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159">
        <v>1.0</v>
      </c>
      <c r="B4" s="144">
        <v>45339.0</v>
      </c>
      <c r="C4" s="80" t="s">
        <v>333</v>
      </c>
      <c r="D4" s="86" t="s">
        <v>334</v>
      </c>
      <c r="E4" s="86" t="s">
        <v>335</v>
      </c>
      <c r="F4" s="131">
        <v>1.0</v>
      </c>
      <c r="G4" s="132">
        <v>1800.0</v>
      </c>
      <c r="H4" s="132">
        <v>4200.0</v>
      </c>
      <c r="I4" s="160">
        <f t="shared" ref="I4:I30" si="3">H4-G4</f>
        <v>2400</v>
      </c>
      <c r="J4" s="34">
        <f t="shared" ref="J4:K4" si="1">SUM(H4:H42)</f>
        <v>48060</v>
      </c>
      <c r="K4" s="37">
        <f t="shared" si="1"/>
        <v>36260</v>
      </c>
      <c r="L4" s="39">
        <f t="shared" ref="L4:M4" si="2">J4/2</f>
        <v>24030</v>
      </c>
      <c r="M4" s="41">
        <f t="shared" si="2"/>
        <v>18130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159">
        <v>2.0</v>
      </c>
      <c r="B5" s="144">
        <v>45339.0</v>
      </c>
      <c r="C5" s="80" t="s">
        <v>228</v>
      </c>
      <c r="D5" s="86" t="s">
        <v>182</v>
      </c>
      <c r="E5" s="86" t="s">
        <v>134</v>
      </c>
      <c r="F5" s="131">
        <v>1.0</v>
      </c>
      <c r="G5" s="132">
        <v>2350.0</v>
      </c>
      <c r="H5" s="132">
        <v>4200.0</v>
      </c>
      <c r="I5" s="160">
        <f t="shared" si="3"/>
        <v>1850</v>
      </c>
      <c r="J5" s="38"/>
      <c r="K5" s="38"/>
      <c r="L5" s="38"/>
      <c r="M5" s="38"/>
    </row>
    <row r="6" ht="18.75" customHeight="1">
      <c r="A6" s="159">
        <v>3.0</v>
      </c>
      <c r="B6" s="144">
        <v>45339.0</v>
      </c>
      <c r="C6" s="80" t="s">
        <v>340</v>
      </c>
      <c r="D6" s="86" t="s">
        <v>342</v>
      </c>
      <c r="E6" s="86" t="s">
        <v>201</v>
      </c>
      <c r="F6" s="131">
        <v>1.0</v>
      </c>
      <c r="G6" s="132"/>
      <c r="H6" s="132">
        <v>6500.0</v>
      </c>
      <c r="I6" s="160">
        <f t="shared" si="3"/>
        <v>6500</v>
      </c>
      <c r="J6" s="38"/>
      <c r="K6" s="38"/>
      <c r="L6" s="38"/>
      <c r="M6" s="38"/>
      <c r="N6" s="57"/>
    </row>
    <row r="7" ht="18.75" customHeight="1">
      <c r="A7" s="159">
        <v>4.0</v>
      </c>
      <c r="B7" s="144">
        <v>45345.0</v>
      </c>
      <c r="C7" s="80" t="s">
        <v>172</v>
      </c>
      <c r="D7" s="86" t="s">
        <v>144</v>
      </c>
      <c r="E7" s="86" t="s">
        <v>283</v>
      </c>
      <c r="F7" s="131">
        <v>1.0</v>
      </c>
      <c r="G7" s="132">
        <v>1800.0</v>
      </c>
      <c r="H7" s="132">
        <v>3600.0</v>
      </c>
      <c r="I7" s="160">
        <f t="shared" si="3"/>
        <v>1800</v>
      </c>
      <c r="J7" s="38"/>
      <c r="K7" s="38"/>
      <c r="L7" s="38"/>
      <c r="M7" s="38"/>
    </row>
    <row r="8" ht="18.75" customHeight="1">
      <c r="A8" s="159">
        <v>5.0</v>
      </c>
      <c r="B8" s="162">
        <v>45346.0</v>
      </c>
      <c r="C8" s="80" t="s">
        <v>163</v>
      </c>
      <c r="D8" s="163" t="s">
        <v>346</v>
      </c>
      <c r="E8" s="163" t="s">
        <v>319</v>
      </c>
      <c r="F8" s="131">
        <v>1.0</v>
      </c>
      <c r="G8" s="132">
        <v>2250.0</v>
      </c>
      <c r="H8" s="132">
        <v>5000.0</v>
      </c>
      <c r="I8" s="160">
        <f t="shared" si="3"/>
        <v>2750</v>
      </c>
      <c r="J8" s="38"/>
      <c r="K8" s="38"/>
      <c r="L8" s="38"/>
      <c r="M8" s="38"/>
      <c r="N8" s="83"/>
    </row>
    <row r="9" ht="18.75" customHeight="1">
      <c r="A9" s="159">
        <v>6.0</v>
      </c>
      <c r="B9" s="144">
        <v>45349.0</v>
      </c>
      <c r="C9" s="80" t="s">
        <v>343</v>
      </c>
      <c r="D9" s="86" t="s">
        <v>348</v>
      </c>
      <c r="E9" s="86" t="s">
        <v>349</v>
      </c>
      <c r="F9" s="131">
        <v>1.0</v>
      </c>
      <c r="G9" s="132"/>
      <c r="H9" s="132">
        <v>2200.0</v>
      </c>
      <c r="I9" s="160">
        <f t="shared" si="3"/>
        <v>2200</v>
      </c>
      <c r="J9" s="38"/>
      <c r="K9" s="38"/>
      <c r="L9" s="38"/>
      <c r="M9" s="38"/>
    </row>
    <row r="10" ht="18.75" customHeight="1">
      <c r="A10" s="159">
        <v>7.0</v>
      </c>
      <c r="B10" s="144">
        <v>45351.0</v>
      </c>
      <c r="C10" s="80" t="s">
        <v>333</v>
      </c>
      <c r="D10" s="86" t="s">
        <v>72</v>
      </c>
      <c r="E10" s="86" t="s">
        <v>352</v>
      </c>
      <c r="F10" s="131">
        <v>1.0</v>
      </c>
      <c r="G10" s="132">
        <v>1800.0</v>
      </c>
      <c r="H10" s="132">
        <v>4000.0</v>
      </c>
      <c r="I10" s="160">
        <f t="shared" si="3"/>
        <v>2200</v>
      </c>
      <c r="J10" s="38"/>
      <c r="K10" s="38"/>
      <c r="L10" s="38"/>
      <c r="M10" s="38"/>
      <c r="N10" s="83"/>
    </row>
    <row r="11" ht="18.75" customHeight="1">
      <c r="A11" s="159">
        <v>8.0</v>
      </c>
      <c r="B11" s="144">
        <v>45352.0</v>
      </c>
      <c r="C11" s="80" t="s">
        <v>356</v>
      </c>
      <c r="D11" s="86" t="s">
        <v>357</v>
      </c>
      <c r="E11" s="86" t="s">
        <v>360</v>
      </c>
      <c r="F11" s="131">
        <v>1.0</v>
      </c>
      <c r="G11" s="132"/>
      <c r="H11" s="132">
        <v>4140.0</v>
      </c>
      <c r="I11" s="160">
        <f t="shared" si="3"/>
        <v>4140</v>
      </c>
      <c r="J11" s="38"/>
      <c r="K11" s="38"/>
      <c r="L11" s="38"/>
      <c r="M11" s="38"/>
      <c r="N11" s="83"/>
    </row>
    <row r="12" ht="18.75" customHeight="1">
      <c r="A12" s="159">
        <v>9.0</v>
      </c>
      <c r="B12" s="164">
        <v>45353.0</v>
      </c>
      <c r="C12" s="80" t="s">
        <v>172</v>
      </c>
      <c r="D12" s="165" t="s">
        <v>128</v>
      </c>
      <c r="E12" s="165" t="s">
        <v>47</v>
      </c>
      <c r="F12" s="131">
        <v>1.0</v>
      </c>
      <c r="G12" s="132">
        <v>1800.0</v>
      </c>
      <c r="H12" s="132">
        <v>3600.0</v>
      </c>
      <c r="I12" s="160">
        <f t="shared" si="3"/>
        <v>1800</v>
      </c>
      <c r="J12" s="38"/>
      <c r="K12" s="38"/>
      <c r="L12" s="38"/>
      <c r="M12" s="38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8.75" customHeight="1">
      <c r="A13" s="159">
        <v>10.0</v>
      </c>
      <c r="B13" s="47"/>
      <c r="C13" s="80" t="s">
        <v>288</v>
      </c>
      <c r="D13" s="47"/>
      <c r="E13" s="47"/>
      <c r="F13" s="131">
        <v>1.0</v>
      </c>
      <c r="G13" s="132"/>
      <c r="H13" s="132">
        <v>6120.0</v>
      </c>
      <c r="I13" s="160">
        <f t="shared" si="3"/>
        <v>6120</v>
      </c>
      <c r="J13" s="38"/>
      <c r="K13" s="38"/>
      <c r="L13" s="38"/>
      <c r="M13" s="38"/>
    </row>
    <row r="14" ht="18.75" customHeight="1">
      <c r="A14" s="159">
        <v>11.0</v>
      </c>
      <c r="B14" s="162">
        <v>45358.0</v>
      </c>
      <c r="C14" s="80" t="s">
        <v>363</v>
      </c>
      <c r="D14" s="163" t="s">
        <v>100</v>
      </c>
      <c r="E14" s="163" t="s">
        <v>31</v>
      </c>
      <c r="F14" s="131">
        <v>1.0</v>
      </c>
      <c r="G14" s="132"/>
      <c r="H14" s="132">
        <v>4500.0</v>
      </c>
      <c r="I14" s="160">
        <f t="shared" si="3"/>
        <v>4500</v>
      </c>
      <c r="J14" s="38"/>
      <c r="K14" s="38"/>
      <c r="L14" s="38"/>
      <c r="M14" s="38"/>
      <c r="N14" s="83"/>
    </row>
    <row r="15" ht="18.75" customHeight="1">
      <c r="A15" s="159">
        <v>12.0</v>
      </c>
      <c r="B15" s="168"/>
      <c r="C15" s="80"/>
      <c r="D15" s="163"/>
      <c r="E15" s="163"/>
      <c r="F15" s="131"/>
      <c r="G15" s="132"/>
      <c r="H15" s="132"/>
      <c r="I15" s="160">
        <f t="shared" si="3"/>
        <v>0</v>
      </c>
      <c r="J15" s="38"/>
      <c r="K15" s="38"/>
      <c r="L15" s="38"/>
      <c r="M15" s="38"/>
    </row>
    <row r="16" ht="18.75" customHeight="1">
      <c r="A16" s="159">
        <v>13.0</v>
      </c>
      <c r="B16" s="144"/>
      <c r="C16" s="80"/>
      <c r="D16" s="163"/>
      <c r="E16" s="163"/>
      <c r="F16" s="131"/>
      <c r="G16" s="132"/>
      <c r="H16" s="132"/>
      <c r="I16" s="160">
        <f t="shared" si="3"/>
        <v>0</v>
      </c>
      <c r="J16" s="38"/>
      <c r="K16" s="38"/>
      <c r="L16" s="38"/>
      <c r="M16" s="38"/>
    </row>
    <row r="17" ht="18.75" customHeight="1">
      <c r="A17" s="159">
        <v>14.0</v>
      </c>
      <c r="B17" s="170"/>
      <c r="C17" s="86"/>
      <c r="D17" s="86"/>
      <c r="E17" s="86"/>
      <c r="F17" s="131"/>
      <c r="G17" s="145"/>
      <c r="H17" s="132"/>
      <c r="I17" s="160">
        <f t="shared" si="3"/>
        <v>0</v>
      </c>
      <c r="J17" s="38"/>
      <c r="K17" s="38"/>
      <c r="L17" s="38"/>
      <c r="M17" s="38"/>
      <c r="N17" s="83"/>
    </row>
    <row r="18" ht="18.75" customHeight="1">
      <c r="A18" s="159">
        <v>15.0</v>
      </c>
      <c r="B18" s="170"/>
      <c r="C18" s="86"/>
      <c r="D18" s="86"/>
      <c r="E18" s="86"/>
      <c r="F18" s="131"/>
      <c r="G18" s="132"/>
      <c r="H18" s="132"/>
      <c r="I18" s="160">
        <f t="shared" si="3"/>
        <v>0</v>
      </c>
      <c r="J18" s="38"/>
      <c r="K18" s="38"/>
      <c r="L18" s="38"/>
      <c r="M18" s="38"/>
      <c r="N18" s="83"/>
    </row>
    <row r="19" ht="18.75" customHeight="1">
      <c r="A19" s="159">
        <v>16.0</v>
      </c>
      <c r="B19" s="144"/>
      <c r="C19" s="86"/>
      <c r="D19" s="140"/>
      <c r="E19" s="140"/>
      <c r="F19" s="131"/>
      <c r="G19" s="132"/>
      <c r="H19" s="132"/>
      <c r="I19" s="160">
        <f t="shared" si="3"/>
        <v>0</v>
      </c>
      <c r="J19" s="38"/>
      <c r="K19" s="38"/>
      <c r="L19" s="38"/>
      <c r="M19" s="38"/>
      <c r="N19" s="83"/>
    </row>
    <row r="20" ht="18.75" customHeight="1">
      <c r="A20" s="159">
        <v>17.0</v>
      </c>
      <c r="B20" s="144"/>
      <c r="C20" s="86"/>
      <c r="D20" s="140"/>
      <c r="E20" s="140"/>
      <c r="F20" s="131"/>
      <c r="G20" s="145"/>
      <c r="H20" s="132"/>
      <c r="I20" s="160">
        <f t="shared" si="3"/>
        <v>0</v>
      </c>
      <c r="J20" s="38"/>
      <c r="K20" s="38"/>
      <c r="L20" s="38"/>
      <c r="M20" s="38"/>
    </row>
    <row r="21" ht="18.75" customHeight="1">
      <c r="A21" s="159">
        <v>18.0</v>
      </c>
      <c r="B21" s="144"/>
      <c r="C21" s="86"/>
      <c r="D21" s="140"/>
      <c r="E21" s="140"/>
      <c r="F21" s="131"/>
      <c r="G21" s="145"/>
      <c r="H21" s="132"/>
      <c r="I21" s="160">
        <f t="shared" si="3"/>
        <v>0</v>
      </c>
      <c r="J21" s="38"/>
      <c r="K21" s="38"/>
      <c r="L21" s="38"/>
      <c r="M21" s="38"/>
    </row>
    <row r="22" ht="18.75" customHeight="1">
      <c r="A22" s="159">
        <v>19.0</v>
      </c>
      <c r="B22" s="144"/>
      <c r="C22" s="86"/>
      <c r="D22" s="86"/>
      <c r="E22" s="86"/>
      <c r="F22" s="131"/>
      <c r="G22" s="132"/>
      <c r="H22" s="132"/>
      <c r="I22" s="160">
        <f t="shared" si="3"/>
        <v>0</v>
      </c>
      <c r="J22" s="38"/>
      <c r="K22" s="38"/>
      <c r="L22" s="38"/>
      <c r="M22" s="38"/>
    </row>
    <row r="23" ht="18.75" customHeight="1">
      <c r="A23" s="159">
        <v>20.0</v>
      </c>
      <c r="B23" s="144"/>
      <c r="C23" s="86"/>
      <c r="D23" s="86"/>
      <c r="E23" s="86"/>
      <c r="F23" s="131"/>
      <c r="G23" s="132"/>
      <c r="H23" s="132"/>
      <c r="I23" s="160">
        <f t="shared" si="3"/>
        <v>0</v>
      </c>
      <c r="J23" s="38"/>
      <c r="K23" s="38"/>
      <c r="L23" s="38"/>
      <c r="M23" s="38"/>
    </row>
    <row r="24" ht="18.75" customHeight="1">
      <c r="A24" s="159">
        <v>21.0</v>
      </c>
      <c r="B24" s="144"/>
      <c r="C24" s="86"/>
      <c r="D24" s="86"/>
      <c r="E24" s="86"/>
      <c r="F24" s="131"/>
      <c r="G24" s="132"/>
      <c r="H24" s="132"/>
      <c r="I24" s="160">
        <f t="shared" si="3"/>
        <v>0</v>
      </c>
      <c r="J24" s="38"/>
      <c r="K24" s="38"/>
      <c r="L24" s="38"/>
      <c r="M24" s="38"/>
    </row>
    <row r="25" ht="18.75" customHeight="1">
      <c r="A25" s="159">
        <v>22.0</v>
      </c>
      <c r="B25" s="144"/>
      <c r="C25" s="86"/>
      <c r="D25" s="86"/>
      <c r="E25" s="86"/>
      <c r="F25" s="131"/>
      <c r="G25" s="132"/>
      <c r="H25" s="132"/>
      <c r="I25" s="160">
        <f t="shared" si="3"/>
        <v>0</v>
      </c>
      <c r="J25" s="38"/>
      <c r="K25" s="38"/>
      <c r="L25" s="38"/>
      <c r="M25" s="38"/>
    </row>
    <row r="26" ht="18.75" customHeight="1">
      <c r="A26" s="159">
        <v>23.0</v>
      </c>
      <c r="B26" s="144"/>
      <c r="C26" s="86"/>
      <c r="D26" s="86"/>
      <c r="E26" s="86"/>
      <c r="F26" s="131"/>
      <c r="G26" s="132"/>
      <c r="H26" s="132"/>
      <c r="I26" s="160">
        <f t="shared" si="3"/>
        <v>0</v>
      </c>
      <c r="J26" s="38"/>
      <c r="K26" s="38"/>
      <c r="L26" s="38"/>
      <c r="M26" s="38"/>
    </row>
    <row r="27" ht="18.75" customHeight="1">
      <c r="A27" s="159">
        <v>24.0</v>
      </c>
      <c r="B27" s="144"/>
      <c r="C27" s="86"/>
      <c r="D27" s="86"/>
      <c r="E27" s="86"/>
      <c r="F27" s="131"/>
      <c r="G27" s="132"/>
      <c r="H27" s="132"/>
      <c r="I27" s="160">
        <f t="shared" si="3"/>
        <v>0</v>
      </c>
      <c r="J27" s="38"/>
      <c r="K27" s="38"/>
      <c r="L27" s="38"/>
      <c r="M27" s="38"/>
    </row>
    <row r="28" ht="18.75" customHeight="1">
      <c r="A28" s="159">
        <v>25.0</v>
      </c>
      <c r="B28" s="144"/>
      <c r="C28" s="86"/>
      <c r="D28" s="86"/>
      <c r="E28" s="86"/>
      <c r="F28" s="131"/>
      <c r="G28" s="132"/>
      <c r="H28" s="132"/>
      <c r="I28" s="160">
        <f t="shared" si="3"/>
        <v>0</v>
      </c>
      <c r="J28" s="38"/>
      <c r="K28" s="38"/>
      <c r="L28" s="38"/>
      <c r="M28" s="38"/>
    </row>
    <row r="29" ht="18.75" customHeight="1">
      <c r="A29" s="159">
        <v>26.0</v>
      </c>
      <c r="B29" s="144"/>
      <c r="C29" s="86"/>
      <c r="D29" s="86"/>
      <c r="E29" s="86"/>
      <c r="F29" s="131"/>
      <c r="G29" s="132"/>
      <c r="H29" s="132"/>
      <c r="I29" s="160">
        <f t="shared" si="3"/>
        <v>0</v>
      </c>
      <c r="J29" s="38"/>
      <c r="K29" s="38"/>
      <c r="L29" s="38"/>
      <c r="M29" s="38"/>
    </row>
    <row r="30" ht="18.75" customHeight="1">
      <c r="A30" s="159">
        <v>27.0</v>
      </c>
      <c r="B30" s="144"/>
      <c r="C30" s="86"/>
      <c r="D30" s="86"/>
      <c r="E30" s="86"/>
      <c r="F30" s="131"/>
      <c r="G30" s="132"/>
      <c r="H30" s="132"/>
      <c r="I30" s="160">
        <f t="shared" si="3"/>
        <v>0</v>
      </c>
      <c r="J30" s="47"/>
      <c r="K30" s="47"/>
      <c r="L30" s="47"/>
      <c r="M30" s="47"/>
    </row>
    <row r="31" ht="18.75" customHeight="1">
      <c r="A31" s="150"/>
      <c r="B31" s="151"/>
      <c r="C31" s="87"/>
      <c r="D31" s="87"/>
      <c r="E31" s="87"/>
      <c r="F31" s="152">
        <f>SUM(F4:F30)</f>
        <v>11</v>
      </c>
      <c r="G31" s="153"/>
      <c r="H31" s="153"/>
      <c r="I31" s="150"/>
      <c r="J31" s="150"/>
      <c r="K31" s="150"/>
      <c r="L31" s="150"/>
      <c r="M31" s="150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M2"/>
    <mergeCell ref="J4:J30"/>
    <mergeCell ref="K4:K30"/>
    <mergeCell ref="L4:L30"/>
    <mergeCell ref="M4:M30"/>
    <mergeCell ref="B12:B13"/>
    <mergeCell ref="D12:D13"/>
    <mergeCell ref="E12:E13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6.86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23" t="s">
        <v>2</v>
      </c>
      <c r="B3" s="124" t="s">
        <v>3</v>
      </c>
      <c r="C3" s="78" t="s">
        <v>4</v>
      </c>
      <c r="D3" s="125" t="s">
        <v>5</v>
      </c>
      <c r="E3" s="125" t="s">
        <v>6</v>
      </c>
      <c r="F3" s="126" t="s">
        <v>7</v>
      </c>
      <c r="G3" s="34" t="s">
        <v>8</v>
      </c>
      <c r="H3" s="34" t="s">
        <v>9</v>
      </c>
      <c r="I3" s="123" t="s">
        <v>10</v>
      </c>
      <c r="J3" s="98" t="s">
        <v>11</v>
      </c>
      <c r="K3" s="98" t="s">
        <v>12</v>
      </c>
      <c r="L3" s="98" t="s">
        <v>13</v>
      </c>
      <c r="M3" s="98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159">
        <v>1.0</v>
      </c>
      <c r="B4" s="144">
        <v>45366.0</v>
      </c>
      <c r="C4" s="80" t="s">
        <v>344</v>
      </c>
      <c r="D4" s="86" t="s">
        <v>345</v>
      </c>
      <c r="E4" s="86" t="s">
        <v>93</v>
      </c>
      <c r="F4" s="131">
        <v>1.0</v>
      </c>
      <c r="G4" s="132">
        <v>2500.0</v>
      </c>
      <c r="H4" s="132">
        <v>5000.0</v>
      </c>
      <c r="I4" s="160">
        <f t="shared" ref="I4:I22" si="3">H4-G4</f>
        <v>2500</v>
      </c>
      <c r="J4" s="34">
        <f t="shared" ref="J4:K4" si="1">SUM(H4:H42)</f>
        <v>98700</v>
      </c>
      <c r="K4" s="37">
        <f t="shared" si="1"/>
        <v>80650</v>
      </c>
      <c r="L4" s="39">
        <f t="shared" ref="L4:M4" si="2">J4/2</f>
        <v>49350</v>
      </c>
      <c r="M4" s="41">
        <f t="shared" si="2"/>
        <v>40325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159">
        <v>2.0</v>
      </c>
      <c r="B5" s="144">
        <v>45367.0</v>
      </c>
      <c r="C5" s="80" t="s">
        <v>55</v>
      </c>
      <c r="D5" s="86" t="s">
        <v>350</v>
      </c>
      <c r="E5" s="86" t="s">
        <v>47</v>
      </c>
      <c r="F5" s="131">
        <v>1.0</v>
      </c>
      <c r="G5" s="132">
        <v>3550.0</v>
      </c>
      <c r="H5" s="132">
        <v>6800.0</v>
      </c>
      <c r="I5" s="160">
        <f t="shared" si="3"/>
        <v>3250</v>
      </c>
      <c r="J5" s="38"/>
      <c r="K5" s="38"/>
      <c r="L5" s="38"/>
      <c r="M5" s="38"/>
    </row>
    <row r="6" ht="18.75" customHeight="1">
      <c r="A6" s="159">
        <v>3.0</v>
      </c>
      <c r="B6" s="144">
        <v>45368.0</v>
      </c>
      <c r="C6" s="80" t="s">
        <v>90</v>
      </c>
      <c r="D6" s="86" t="s">
        <v>71</v>
      </c>
      <c r="E6" s="86" t="s">
        <v>351</v>
      </c>
      <c r="F6" s="131">
        <v>1.0</v>
      </c>
      <c r="G6" s="132">
        <v>3000.0</v>
      </c>
      <c r="H6" s="132">
        <v>5400.0</v>
      </c>
      <c r="I6" s="160">
        <f t="shared" si="3"/>
        <v>2400</v>
      </c>
      <c r="J6" s="38"/>
      <c r="K6" s="38"/>
      <c r="L6" s="38"/>
      <c r="M6" s="38"/>
      <c r="N6" s="57"/>
    </row>
    <row r="7" ht="18.75" customHeight="1">
      <c r="A7" s="159">
        <v>4.0</v>
      </c>
      <c r="B7" s="144">
        <v>45368.0</v>
      </c>
      <c r="C7" s="80" t="s">
        <v>353</v>
      </c>
      <c r="D7" s="86" t="s">
        <v>354</v>
      </c>
      <c r="E7" s="86" t="s">
        <v>355</v>
      </c>
      <c r="F7" s="131">
        <v>1.0</v>
      </c>
      <c r="G7" s="132"/>
      <c r="H7" s="132">
        <v>8550.0</v>
      </c>
      <c r="I7" s="160">
        <f t="shared" si="3"/>
        <v>8550</v>
      </c>
      <c r="J7" s="38"/>
      <c r="K7" s="38"/>
      <c r="L7" s="38"/>
      <c r="M7" s="38"/>
    </row>
    <row r="8" ht="18.75" customHeight="1">
      <c r="A8" s="159">
        <v>5.0</v>
      </c>
      <c r="B8" s="162">
        <v>45369.0</v>
      </c>
      <c r="C8" s="80" t="s">
        <v>358</v>
      </c>
      <c r="D8" s="163" t="s">
        <v>361</v>
      </c>
      <c r="E8" s="163" t="s">
        <v>362</v>
      </c>
      <c r="F8" s="131">
        <v>1.0</v>
      </c>
      <c r="G8" s="132">
        <v>750.0</v>
      </c>
      <c r="H8" s="132">
        <v>1400.0</v>
      </c>
      <c r="I8" s="160">
        <f t="shared" si="3"/>
        <v>650</v>
      </c>
      <c r="J8" s="38"/>
      <c r="K8" s="38"/>
      <c r="L8" s="38"/>
      <c r="M8" s="38"/>
      <c r="N8" s="83"/>
    </row>
    <row r="9" ht="18.75" customHeight="1">
      <c r="A9" s="159">
        <v>6.0</v>
      </c>
      <c r="B9" s="144">
        <v>45369.0</v>
      </c>
      <c r="C9" s="80" t="s">
        <v>363</v>
      </c>
      <c r="D9" s="86" t="s">
        <v>155</v>
      </c>
      <c r="E9" s="86" t="s">
        <v>28</v>
      </c>
      <c r="F9" s="131">
        <v>1.0</v>
      </c>
      <c r="G9" s="132"/>
      <c r="H9" s="132">
        <v>4500.0</v>
      </c>
      <c r="I9" s="160">
        <f t="shared" si="3"/>
        <v>4500</v>
      </c>
      <c r="J9" s="38"/>
      <c r="K9" s="38"/>
      <c r="L9" s="38"/>
      <c r="M9" s="38"/>
    </row>
    <row r="10" ht="18.75" customHeight="1">
      <c r="A10" s="159">
        <v>7.0</v>
      </c>
      <c r="B10" s="144">
        <v>45369.0</v>
      </c>
      <c r="C10" s="80" t="s">
        <v>358</v>
      </c>
      <c r="D10" s="86" t="s">
        <v>367</v>
      </c>
      <c r="E10" s="86" t="s">
        <v>368</v>
      </c>
      <c r="F10" s="131">
        <v>1.0</v>
      </c>
      <c r="G10" s="132">
        <v>750.0</v>
      </c>
      <c r="H10" s="132">
        <v>1400.0</v>
      </c>
      <c r="I10" s="160">
        <f t="shared" si="3"/>
        <v>650</v>
      </c>
      <c r="J10" s="38"/>
      <c r="K10" s="38"/>
      <c r="L10" s="38"/>
      <c r="M10" s="38"/>
      <c r="N10" s="83"/>
    </row>
    <row r="11" ht="18.75" customHeight="1">
      <c r="A11" s="159">
        <v>8.0</v>
      </c>
      <c r="B11" s="144">
        <v>45371.0</v>
      </c>
      <c r="C11" s="80" t="s">
        <v>306</v>
      </c>
      <c r="D11" s="86" t="s">
        <v>299</v>
      </c>
      <c r="E11" s="86" t="s">
        <v>322</v>
      </c>
      <c r="F11" s="131">
        <v>1.0</v>
      </c>
      <c r="G11" s="132"/>
      <c r="H11" s="132">
        <v>2500.0</v>
      </c>
      <c r="I11" s="160">
        <f t="shared" si="3"/>
        <v>2500</v>
      </c>
      <c r="J11" s="38"/>
      <c r="K11" s="38"/>
      <c r="L11" s="38"/>
      <c r="M11" s="38"/>
      <c r="N11" s="83"/>
    </row>
    <row r="12" ht="18.75" customHeight="1">
      <c r="A12" s="159">
        <v>9.0</v>
      </c>
      <c r="B12" s="166">
        <v>45372.0</v>
      </c>
      <c r="C12" s="80" t="s">
        <v>344</v>
      </c>
      <c r="D12" s="167" t="s">
        <v>370</v>
      </c>
      <c r="E12" s="167" t="s">
        <v>371</v>
      </c>
      <c r="F12" s="131">
        <v>1.0</v>
      </c>
      <c r="G12" s="132">
        <v>2500.0</v>
      </c>
      <c r="H12" s="132">
        <v>5000.0</v>
      </c>
      <c r="I12" s="160">
        <f t="shared" si="3"/>
        <v>2500</v>
      </c>
      <c r="J12" s="38"/>
      <c r="K12" s="38"/>
      <c r="L12" s="38"/>
      <c r="M12" s="38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8.75" customHeight="1">
      <c r="A13" s="159">
        <v>10.0</v>
      </c>
      <c r="B13" s="138">
        <v>45373.0</v>
      </c>
      <c r="C13" s="80" t="s">
        <v>344</v>
      </c>
      <c r="D13" s="139" t="s">
        <v>372</v>
      </c>
      <c r="E13" s="139" t="s">
        <v>93</v>
      </c>
      <c r="F13" s="131">
        <v>1.0</v>
      </c>
      <c r="G13" s="132">
        <v>2500.0</v>
      </c>
      <c r="H13" s="132">
        <v>4500.0</v>
      </c>
      <c r="I13" s="160">
        <f t="shared" si="3"/>
        <v>2000</v>
      </c>
      <c r="J13" s="38"/>
      <c r="K13" s="38"/>
      <c r="L13" s="38"/>
      <c r="M13" s="38"/>
    </row>
    <row r="14" ht="18.75" customHeight="1">
      <c r="A14" s="159">
        <v>11.0</v>
      </c>
      <c r="B14" s="162">
        <v>45374.0</v>
      </c>
      <c r="C14" s="80" t="s">
        <v>344</v>
      </c>
      <c r="D14" s="163" t="s">
        <v>374</v>
      </c>
      <c r="E14" s="163" t="s">
        <v>349</v>
      </c>
      <c r="F14" s="131">
        <v>1.0</v>
      </c>
      <c r="G14" s="132">
        <v>2500.0</v>
      </c>
      <c r="H14" s="132">
        <v>4500.0</v>
      </c>
      <c r="I14" s="160">
        <f t="shared" si="3"/>
        <v>2000</v>
      </c>
      <c r="J14" s="38"/>
      <c r="K14" s="38"/>
      <c r="L14" s="38"/>
      <c r="M14" s="38"/>
      <c r="N14" s="83"/>
    </row>
    <row r="15" ht="18.75" customHeight="1">
      <c r="A15" s="159">
        <v>12.0</v>
      </c>
      <c r="B15" s="169">
        <v>45375.0</v>
      </c>
      <c r="C15" s="80" t="s">
        <v>377</v>
      </c>
      <c r="D15" s="171" t="s">
        <v>190</v>
      </c>
      <c r="E15" s="172" t="s">
        <v>201</v>
      </c>
      <c r="F15" s="131">
        <v>1.0</v>
      </c>
      <c r="G15" s="132"/>
      <c r="H15" s="132">
        <v>11250.0</v>
      </c>
      <c r="I15" s="160">
        <f t="shared" si="3"/>
        <v>11250</v>
      </c>
      <c r="J15" s="38"/>
      <c r="K15" s="38"/>
      <c r="L15" s="38"/>
      <c r="M15" s="38"/>
    </row>
    <row r="16" ht="18.75" customHeight="1">
      <c r="A16" s="159">
        <v>13.0</v>
      </c>
      <c r="B16" s="47"/>
      <c r="C16" s="80" t="s">
        <v>378</v>
      </c>
      <c r="D16" s="171"/>
      <c r="E16" s="47"/>
      <c r="F16" s="131">
        <v>1.0</v>
      </c>
      <c r="G16" s="132"/>
      <c r="H16" s="132">
        <v>1700.0</v>
      </c>
      <c r="I16" s="160">
        <f t="shared" si="3"/>
        <v>1700</v>
      </c>
      <c r="J16" s="38"/>
      <c r="K16" s="38"/>
      <c r="L16" s="38"/>
      <c r="M16" s="38"/>
    </row>
    <row r="17" ht="18.75" customHeight="1">
      <c r="A17" s="159">
        <v>14.0</v>
      </c>
      <c r="B17" s="170">
        <v>45377.0</v>
      </c>
      <c r="C17" s="86" t="s">
        <v>379</v>
      </c>
      <c r="D17" s="86" t="s">
        <v>159</v>
      </c>
      <c r="E17" s="86" t="s">
        <v>380</v>
      </c>
      <c r="F17" s="131">
        <v>2.0</v>
      </c>
      <c r="G17" s="145"/>
      <c r="H17" s="132">
        <v>18900.0</v>
      </c>
      <c r="I17" s="160">
        <f t="shared" si="3"/>
        <v>18900</v>
      </c>
      <c r="J17" s="38"/>
      <c r="K17" s="38"/>
      <c r="L17" s="38"/>
      <c r="M17" s="38"/>
      <c r="N17" s="83"/>
    </row>
    <row r="18" ht="18.75" customHeight="1">
      <c r="A18" s="159">
        <v>15.0</v>
      </c>
      <c r="B18" s="170">
        <v>45383.0</v>
      </c>
      <c r="C18" s="86" t="s">
        <v>228</v>
      </c>
      <c r="D18" s="86" t="s">
        <v>220</v>
      </c>
      <c r="E18" s="86" t="s">
        <v>61</v>
      </c>
      <c r="F18" s="131">
        <v>1.0</v>
      </c>
      <c r="G18" s="132"/>
      <c r="H18" s="132">
        <v>4200.0</v>
      </c>
      <c r="I18" s="160">
        <f t="shared" si="3"/>
        <v>4200</v>
      </c>
      <c r="J18" s="38"/>
      <c r="K18" s="38"/>
      <c r="L18" s="38"/>
      <c r="M18" s="38"/>
      <c r="N18" s="83"/>
    </row>
    <row r="19" ht="18.75" customHeight="1">
      <c r="A19" s="159">
        <v>16.0</v>
      </c>
      <c r="B19" s="144">
        <v>45383.0</v>
      </c>
      <c r="C19" s="86" t="s">
        <v>363</v>
      </c>
      <c r="D19" s="140" t="s">
        <v>382</v>
      </c>
      <c r="E19" s="140" t="s">
        <v>355</v>
      </c>
      <c r="F19" s="131">
        <v>1.0</v>
      </c>
      <c r="G19" s="132"/>
      <c r="H19" s="132">
        <v>4500.0</v>
      </c>
      <c r="I19" s="160">
        <f t="shared" si="3"/>
        <v>4500</v>
      </c>
      <c r="J19" s="38"/>
      <c r="K19" s="38"/>
      <c r="L19" s="38"/>
      <c r="M19" s="38"/>
      <c r="N19" s="83"/>
    </row>
    <row r="20" ht="18.75" customHeight="1">
      <c r="A20" s="159">
        <v>17.0</v>
      </c>
      <c r="B20" s="173">
        <v>45383.0</v>
      </c>
      <c r="C20" s="86" t="s">
        <v>255</v>
      </c>
      <c r="D20" s="135" t="s">
        <v>383</v>
      </c>
      <c r="E20" s="154" t="s">
        <v>168</v>
      </c>
      <c r="F20" s="131">
        <v>1.0</v>
      </c>
      <c r="G20" s="145"/>
      <c r="H20" s="132">
        <v>4000.0</v>
      </c>
      <c r="I20" s="160">
        <f t="shared" si="3"/>
        <v>4000</v>
      </c>
      <c r="J20" s="38"/>
      <c r="K20" s="38"/>
      <c r="L20" s="38"/>
      <c r="M20" s="38"/>
    </row>
    <row r="21" ht="18.75" customHeight="1">
      <c r="A21" s="159">
        <v>18.0</v>
      </c>
      <c r="B21" s="47"/>
      <c r="C21" s="86" t="s">
        <v>358</v>
      </c>
      <c r="D21" s="47"/>
      <c r="E21" s="47"/>
      <c r="F21" s="131">
        <v>1.0</v>
      </c>
      <c r="G21" s="145"/>
      <c r="H21" s="132">
        <v>2800.0</v>
      </c>
      <c r="I21" s="160">
        <f t="shared" si="3"/>
        <v>2800</v>
      </c>
      <c r="J21" s="38"/>
      <c r="K21" s="38"/>
      <c r="L21" s="38"/>
      <c r="M21" s="38"/>
    </row>
    <row r="22" ht="18.75" customHeight="1">
      <c r="A22" s="159">
        <v>19.0</v>
      </c>
      <c r="B22" s="144">
        <v>45381.0</v>
      </c>
      <c r="C22" s="86" t="s">
        <v>309</v>
      </c>
      <c r="D22" s="86" t="s">
        <v>372</v>
      </c>
      <c r="E22" s="86" t="s">
        <v>47</v>
      </c>
      <c r="F22" s="131">
        <v>1.0</v>
      </c>
      <c r="G22" s="132"/>
      <c r="H22" s="132">
        <v>1800.0</v>
      </c>
      <c r="I22" s="160">
        <f t="shared" si="3"/>
        <v>1800</v>
      </c>
      <c r="J22" s="38"/>
      <c r="K22" s="38"/>
      <c r="L22" s="38"/>
      <c r="M22" s="38"/>
    </row>
    <row r="23" ht="18.75" customHeight="1">
      <c r="A23" s="159">
        <v>20.0</v>
      </c>
      <c r="B23" s="144"/>
      <c r="C23" s="86"/>
      <c r="D23" s="86"/>
      <c r="E23" s="86"/>
      <c r="F23" s="131"/>
      <c r="G23" s="132"/>
      <c r="H23" s="132"/>
      <c r="I23" s="160"/>
      <c r="J23" s="38"/>
      <c r="K23" s="38"/>
      <c r="L23" s="38"/>
      <c r="M23" s="38"/>
    </row>
    <row r="24" ht="18.75" customHeight="1">
      <c r="A24" s="159">
        <v>21.0</v>
      </c>
      <c r="B24" s="144"/>
      <c r="C24" s="86"/>
      <c r="D24" s="86"/>
      <c r="E24" s="86"/>
      <c r="F24" s="131"/>
      <c r="G24" s="132"/>
      <c r="H24" s="132"/>
      <c r="I24" s="160">
        <f t="shared" ref="I24:I30" si="4">H24-G24</f>
        <v>0</v>
      </c>
      <c r="J24" s="38"/>
      <c r="K24" s="38"/>
      <c r="L24" s="38"/>
      <c r="M24" s="38"/>
    </row>
    <row r="25" ht="18.75" customHeight="1">
      <c r="A25" s="159">
        <v>22.0</v>
      </c>
      <c r="B25" s="144"/>
      <c r="C25" s="86"/>
      <c r="D25" s="86"/>
      <c r="E25" s="86"/>
      <c r="F25" s="131"/>
      <c r="G25" s="132"/>
      <c r="H25" s="132"/>
      <c r="I25" s="160">
        <f t="shared" si="4"/>
        <v>0</v>
      </c>
      <c r="J25" s="38"/>
      <c r="K25" s="38"/>
      <c r="L25" s="38"/>
      <c r="M25" s="38"/>
    </row>
    <row r="26" ht="18.75" customHeight="1">
      <c r="A26" s="159">
        <v>23.0</v>
      </c>
      <c r="B26" s="144"/>
      <c r="C26" s="86"/>
      <c r="D26" s="86"/>
      <c r="E26" s="86"/>
      <c r="F26" s="131"/>
      <c r="G26" s="132"/>
      <c r="H26" s="132"/>
      <c r="I26" s="160">
        <f t="shared" si="4"/>
        <v>0</v>
      </c>
      <c r="J26" s="38"/>
      <c r="K26" s="38"/>
      <c r="L26" s="38"/>
      <c r="M26" s="38"/>
    </row>
    <row r="27" ht="18.75" customHeight="1">
      <c r="A27" s="159">
        <v>24.0</v>
      </c>
      <c r="B27" s="144"/>
      <c r="C27" s="86"/>
      <c r="D27" s="86"/>
      <c r="E27" s="86"/>
      <c r="F27" s="131"/>
      <c r="G27" s="132"/>
      <c r="H27" s="132"/>
      <c r="I27" s="160">
        <f t="shared" si="4"/>
        <v>0</v>
      </c>
      <c r="J27" s="38"/>
      <c r="K27" s="38"/>
      <c r="L27" s="38"/>
      <c r="M27" s="38"/>
    </row>
    <row r="28" ht="18.75" customHeight="1">
      <c r="A28" s="159">
        <v>25.0</v>
      </c>
      <c r="B28" s="144"/>
      <c r="C28" s="86"/>
      <c r="D28" s="86"/>
      <c r="E28" s="86"/>
      <c r="F28" s="131"/>
      <c r="G28" s="132"/>
      <c r="H28" s="132"/>
      <c r="I28" s="160">
        <f t="shared" si="4"/>
        <v>0</v>
      </c>
      <c r="J28" s="38"/>
      <c r="K28" s="38"/>
      <c r="L28" s="38"/>
      <c r="M28" s="38"/>
    </row>
    <row r="29" ht="18.75" customHeight="1">
      <c r="A29" s="159">
        <v>26.0</v>
      </c>
      <c r="B29" s="144"/>
      <c r="C29" s="86"/>
      <c r="D29" s="86"/>
      <c r="E29" s="86"/>
      <c r="F29" s="131"/>
      <c r="G29" s="132"/>
      <c r="H29" s="132"/>
      <c r="I29" s="160">
        <f t="shared" si="4"/>
        <v>0</v>
      </c>
      <c r="J29" s="38"/>
      <c r="K29" s="38"/>
      <c r="L29" s="38"/>
      <c r="M29" s="38"/>
    </row>
    <row r="30" ht="18.75" customHeight="1">
      <c r="A30" s="159">
        <v>27.0</v>
      </c>
      <c r="B30" s="144"/>
      <c r="C30" s="86"/>
      <c r="D30" s="86"/>
      <c r="E30" s="86"/>
      <c r="F30" s="131"/>
      <c r="G30" s="132"/>
      <c r="H30" s="132"/>
      <c r="I30" s="160">
        <f t="shared" si="4"/>
        <v>0</v>
      </c>
      <c r="J30" s="47"/>
      <c r="K30" s="47"/>
      <c r="L30" s="47"/>
      <c r="M30" s="47"/>
    </row>
    <row r="31" ht="18.75" customHeight="1">
      <c r="A31" s="150"/>
      <c r="B31" s="151"/>
      <c r="C31" s="87"/>
      <c r="D31" s="87"/>
      <c r="E31" s="87"/>
      <c r="F31" s="152">
        <f>SUM(F4:F30)</f>
        <v>20</v>
      </c>
      <c r="G31" s="153"/>
      <c r="H31" s="153"/>
      <c r="I31" s="150"/>
      <c r="J31" s="150"/>
      <c r="K31" s="150"/>
      <c r="L31" s="150"/>
      <c r="M31" s="150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20:B21"/>
    <mergeCell ref="D20:D21"/>
    <mergeCell ref="A1:M2"/>
    <mergeCell ref="J4:J30"/>
    <mergeCell ref="K4:K30"/>
    <mergeCell ref="L4:L30"/>
    <mergeCell ref="M4:M30"/>
    <mergeCell ref="B15:B16"/>
    <mergeCell ref="E15:E16"/>
    <mergeCell ref="E20:E2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6.86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</row>
    <row r="3" ht="18.75" customHeight="1">
      <c r="A3" s="123" t="s">
        <v>2</v>
      </c>
      <c r="B3" s="124" t="s">
        <v>3</v>
      </c>
      <c r="C3" s="78" t="s">
        <v>4</v>
      </c>
      <c r="D3" s="125" t="s">
        <v>5</v>
      </c>
      <c r="E3" s="125" t="s">
        <v>6</v>
      </c>
      <c r="F3" s="126" t="s">
        <v>7</v>
      </c>
      <c r="G3" s="34" t="s">
        <v>8</v>
      </c>
      <c r="H3" s="34" t="s">
        <v>9</v>
      </c>
      <c r="I3" s="123" t="s">
        <v>10</v>
      </c>
      <c r="J3" s="98" t="s">
        <v>11</v>
      </c>
      <c r="K3" s="98" t="s">
        <v>12</v>
      </c>
      <c r="L3" s="98" t="s">
        <v>13</v>
      </c>
      <c r="M3" s="98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159">
        <v>1.0</v>
      </c>
      <c r="B4" s="144">
        <v>45393.0</v>
      </c>
      <c r="C4" s="80" t="s">
        <v>163</v>
      </c>
      <c r="D4" s="86" t="s">
        <v>73</v>
      </c>
      <c r="E4" s="86" t="s">
        <v>147</v>
      </c>
      <c r="F4" s="131">
        <v>1.0</v>
      </c>
      <c r="G4" s="132">
        <v>2500.0</v>
      </c>
      <c r="H4" s="132">
        <v>4500.0</v>
      </c>
      <c r="I4" s="160">
        <f t="shared" ref="I4:I22" si="3">H4-G4</f>
        <v>2000</v>
      </c>
      <c r="J4" s="34">
        <f t="shared" ref="J4:K4" si="1">SUM(H4:H42)</f>
        <v>52700</v>
      </c>
      <c r="K4" s="37">
        <f t="shared" si="1"/>
        <v>28350</v>
      </c>
      <c r="L4" s="39">
        <f t="shared" ref="L4:M4" si="2">J4/2</f>
        <v>26350</v>
      </c>
      <c r="M4" s="41">
        <f t="shared" si="2"/>
        <v>14175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8.75" customHeight="1">
      <c r="A5" s="159">
        <v>2.0</v>
      </c>
      <c r="B5" s="144">
        <v>45393.0</v>
      </c>
      <c r="C5" s="80" t="s">
        <v>172</v>
      </c>
      <c r="D5" s="86" t="s">
        <v>190</v>
      </c>
      <c r="E5" s="86" t="s">
        <v>31</v>
      </c>
      <c r="F5" s="131">
        <v>1.0</v>
      </c>
      <c r="G5" s="132">
        <v>1800.0</v>
      </c>
      <c r="H5" s="132">
        <v>4000.0</v>
      </c>
      <c r="I5" s="160">
        <f t="shared" si="3"/>
        <v>2200</v>
      </c>
      <c r="J5" s="38"/>
      <c r="K5" s="38"/>
      <c r="L5" s="38"/>
      <c r="M5" s="38"/>
    </row>
    <row r="6" ht="18.75" customHeight="1">
      <c r="A6" s="159">
        <v>3.0</v>
      </c>
      <c r="B6" s="144">
        <v>45401.0</v>
      </c>
      <c r="C6" s="80" t="s">
        <v>358</v>
      </c>
      <c r="D6" s="86" t="s">
        <v>331</v>
      </c>
      <c r="E6" s="86" t="s">
        <v>57</v>
      </c>
      <c r="F6" s="131">
        <v>2.0</v>
      </c>
      <c r="G6" s="132">
        <v>750.0</v>
      </c>
      <c r="H6" s="132">
        <v>3100.0</v>
      </c>
      <c r="I6" s="160">
        <f t="shared" si="3"/>
        <v>2350</v>
      </c>
      <c r="J6" s="38"/>
      <c r="K6" s="38"/>
      <c r="L6" s="38"/>
      <c r="M6" s="38"/>
      <c r="N6" s="57"/>
    </row>
    <row r="7" ht="18.75" customHeight="1">
      <c r="A7" s="159">
        <v>4.0</v>
      </c>
      <c r="B7" s="144">
        <v>45402.0</v>
      </c>
      <c r="C7" s="80" t="s">
        <v>163</v>
      </c>
      <c r="D7" s="86" t="s">
        <v>206</v>
      </c>
      <c r="E7" s="86" t="s">
        <v>31</v>
      </c>
      <c r="F7" s="131">
        <v>1.0</v>
      </c>
      <c r="G7" s="132">
        <v>2500.0</v>
      </c>
      <c r="H7" s="132">
        <v>4000.0</v>
      </c>
      <c r="I7" s="160">
        <f t="shared" si="3"/>
        <v>1500</v>
      </c>
      <c r="J7" s="38"/>
      <c r="K7" s="38"/>
      <c r="L7" s="38"/>
      <c r="M7" s="38"/>
    </row>
    <row r="8" ht="18.75" customHeight="1">
      <c r="A8" s="159">
        <v>5.0</v>
      </c>
      <c r="B8" s="162">
        <v>45404.0</v>
      </c>
      <c r="C8" s="80" t="s">
        <v>358</v>
      </c>
      <c r="D8" s="163" t="s">
        <v>373</v>
      </c>
      <c r="E8" s="163" t="s">
        <v>201</v>
      </c>
      <c r="F8" s="131">
        <v>2.0</v>
      </c>
      <c r="G8" s="132">
        <v>750.0</v>
      </c>
      <c r="H8" s="132">
        <v>4600.0</v>
      </c>
      <c r="I8" s="160">
        <f t="shared" si="3"/>
        <v>3850</v>
      </c>
      <c r="J8" s="38"/>
      <c r="K8" s="38"/>
      <c r="L8" s="38"/>
      <c r="M8" s="38"/>
      <c r="N8" s="83"/>
    </row>
    <row r="9" ht="18.75" customHeight="1">
      <c r="A9" s="159">
        <v>6.0</v>
      </c>
      <c r="B9" s="144">
        <v>45406.0</v>
      </c>
      <c r="C9" s="80" t="s">
        <v>172</v>
      </c>
      <c r="D9" s="86" t="s">
        <v>375</v>
      </c>
      <c r="E9" s="86" t="s">
        <v>376</v>
      </c>
      <c r="F9" s="131">
        <v>1.0</v>
      </c>
      <c r="G9" s="132">
        <v>1800.0</v>
      </c>
      <c r="H9" s="132">
        <v>4500.0</v>
      </c>
      <c r="I9" s="160">
        <f t="shared" si="3"/>
        <v>2700</v>
      </c>
      <c r="J9" s="38"/>
      <c r="K9" s="38"/>
      <c r="L9" s="38"/>
      <c r="M9" s="38"/>
    </row>
    <row r="10" ht="18.75" customHeight="1">
      <c r="A10" s="159">
        <v>7.0</v>
      </c>
      <c r="B10" s="144">
        <v>45406.0</v>
      </c>
      <c r="C10" s="80" t="s">
        <v>333</v>
      </c>
      <c r="D10" s="86" t="s">
        <v>297</v>
      </c>
      <c r="E10" s="86" t="s">
        <v>298</v>
      </c>
      <c r="F10" s="131">
        <v>1.0</v>
      </c>
      <c r="G10" s="132">
        <v>2000.0</v>
      </c>
      <c r="H10" s="132">
        <v>4200.0</v>
      </c>
      <c r="I10" s="160">
        <f t="shared" si="3"/>
        <v>2200</v>
      </c>
      <c r="J10" s="38"/>
      <c r="K10" s="38"/>
      <c r="L10" s="38"/>
      <c r="M10" s="38"/>
      <c r="N10" s="83"/>
    </row>
    <row r="11" ht="18.75" customHeight="1">
      <c r="A11" s="159">
        <v>8.0</v>
      </c>
      <c r="B11" s="144">
        <v>45415.0</v>
      </c>
      <c r="C11" s="80" t="s">
        <v>358</v>
      </c>
      <c r="D11" s="86" t="s">
        <v>318</v>
      </c>
      <c r="E11" s="86" t="s">
        <v>122</v>
      </c>
      <c r="F11" s="131">
        <v>1.0</v>
      </c>
      <c r="G11" s="132">
        <v>750.0</v>
      </c>
      <c r="H11" s="132">
        <v>1700.0</v>
      </c>
      <c r="I11" s="160">
        <f t="shared" si="3"/>
        <v>950</v>
      </c>
      <c r="J11" s="38"/>
      <c r="K11" s="38"/>
      <c r="L11" s="38"/>
      <c r="M11" s="38"/>
      <c r="N11" s="83"/>
    </row>
    <row r="12" ht="18.75" customHeight="1">
      <c r="A12" s="159">
        <v>9.0</v>
      </c>
      <c r="B12" s="166">
        <v>45419.0</v>
      </c>
      <c r="C12" s="80" t="s">
        <v>381</v>
      </c>
      <c r="D12" s="167" t="s">
        <v>77</v>
      </c>
      <c r="E12" s="167" t="s">
        <v>156</v>
      </c>
      <c r="F12" s="131">
        <v>1.0</v>
      </c>
      <c r="G12" s="132">
        <v>4950.0</v>
      </c>
      <c r="H12" s="132">
        <v>9900.0</v>
      </c>
      <c r="I12" s="160">
        <f t="shared" si="3"/>
        <v>4950</v>
      </c>
      <c r="J12" s="38"/>
      <c r="K12" s="38"/>
      <c r="L12" s="38"/>
      <c r="M12" s="38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8.75" customHeight="1">
      <c r="A13" s="159">
        <v>10.0</v>
      </c>
      <c r="B13" s="47"/>
      <c r="C13" s="80" t="s">
        <v>55</v>
      </c>
      <c r="D13" s="47"/>
      <c r="E13" s="47"/>
      <c r="F13" s="131">
        <v>1.0</v>
      </c>
      <c r="G13" s="132">
        <v>3550.0</v>
      </c>
      <c r="H13" s="132">
        <v>6800.0</v>
      </c>
      <c r="I13" s="160">
        <f t="shared" si="3"/>
        <v>3250</v>
      </c>
      <c r="J13" s="38"/>
      <c r="K13" s="38"/>
      <c r="L13" s="38"/>
      <c r="M13" s="38"/>
    </row>
    <row r="14" ht="18.75" customHeight="1">
      <c r="A14" s="159">
        <v>11.0</v>
      </c>
      <c r="B14" s="162">
        <v>45420.0</v>
      </c>
      <c r="C14" s="80" t="s">
        <v>90</v>
      </c>
      <c r="D14" s="163" t="s">
        <v>265</v>
      </c>
      <c r="E14" s="163" t="s">
        <v>384</v>
      </c>
      <c r="F14" s="131">
        <v>11.0</v>
      </c>
      <c r="G14" s="132">
        <v>3000.0</v>
      </c>
      <c r="H14" s="132">
        <v>5400.0</v>
      </c>
      <c r="I14" s="160">
        <f t="shared" si="3"/>
        <v>2400</v>
      </c>
      <c r="J14" s="38"/>
      <c r="K14" s="38"/>
      <c r="L14" s="38"/>
      <c r="M14" s="38"/>
      <c r="N14" s="83"/>
    </row>
    <row r="15" ht="18.75" customHeight="1">
      <c r="A15" s="159">
        <v>12.0</v>
      </c>
      <c r="B15" s="169"/>
      <c r="C15" s="80"/>
      <c r="D15" s="171"/>
      <c r="E15" s="172"/>
      <c r="F15" s="131"/>
      <c r="G15" s="132"/>
      <c r="H15" s="132"/>
      <c r="I15" s="160">
        <f t="shared" si="3"/>
        <v>0</v>
      </c>
      <c r="J15" s="38"/>
      <c r="K15" s="38"/>
      <c r="L15" s="38"/>
      <c r="M15" s="38"/>
    </row>
    <row r="16" ht="18.75" customHeight="1">
      <c r="A16" s="159">
        <v>13.0</v>
      </c>
      <c r="B16" s="47"/>
      <c r="C16" s="80"/>
      <c r="D16" s="171"/>
      <c r="E16" s="47"/>
      <c r="F16" s="131"/>
      <c r="G16" s="132"/>
      <c r="H16" s="132"/>
      <c r="I16" s="160">
        <f t="shared" si="3"/>
        <v>0</v>
      </c>
      <c r="J16" s="38"/>
      <c r="K16" s="38"/>
      <c r="L16" s="38"/>
      <c r="M16" s="38"/>
    </row>
    <row r="17" ht="18.75" customHeight="1">
      <c r="A17" s="159">
        <v>14.0</v>
      </c>
      <c r="B17" s="170"/>
      <c r="C17" s="86"/>
      <c r="D17" s="86"/>
      <c r="E17" s="86"/>
      <c r="F17" s="131"/>
      <c r="G17" s="145"/>
      <c r="H17" s="132"/>
      <c r="I17" s="160">
        <f t="shared" si="3"/>
        <v>0</v>
      </c>
      <c r="J17" s="38"/>
      <c r="K17" s="38"/>
      <c r="L17" s="38"/>
      <c r="M17" s="38"/>
      <c r="N17" s="83"/>
    </row>
    <row r="18" ht="18.75" customHeight="1">
      <c r="A18" s="159">
        <v>15.0</v>
      </c>
      <c r="B18" s="170"/>
      <c r="C18" s="86"/>
      <c r="D18" s="86"/>
      <c r="E18" s="86"/>
      <c r="F18" s="131"/>
      <c r="G18" s="132"/>
      <c r="H18" s="132"/>
      <c r="I18" s="160">
        <f t="shared" si="3"/>
        <v>0</v>
      </c>
      <c r="J18" s="38"/>
      <c r="K18" s="38"/>
      <c r="L18" s="38"/>
      <c r="M18" s="38"/>
      <c r="N18" s="83"/>
    </row>
    <row r="19" ht="18.75" customHeight="1">
      <c r="A19" s="159">
        <v>16.0</v>
      </c>
      <c r="B19" s="144"/>
      <c r="C19" s="86"/>
      <c r="D19" s="140"/>
      <c r="E19" s="140"/>
      <c r="F19" s="131"/>
      <c r="G19" s="132"/>
      <c r="H19" s="132"/>
      <c r="I19" s="160">
        <f t="shared" si="3"/>
        <v>0</v>
      </c>
      <c r="J19" s="38"/>
      <c r="K19" s="38"/>
      <c r="L19" s="38"/>
      <c r="M19" s="38"/>
      <c r="N19" s="83"/>
    </row>
    <row r="20" ht="18.75" customHeight="1">
      <c r="A20" s="159">
        <v>17.0</v>
      </c>
      <c r="B20" s="173"/>
      <c r="C20" s="86"/>
      <c r="D20" s="135"/>
      <c r="E20" s="154"/>
      <c r="F20" s="131"/>
      <c r="G20" s="145"/>
      <c r="H20" s="132"/>
      <c r="I20" s="160">
        <f t="shared" si="3"/>
        <v>0</v>
      </c>
      <c r="J20" s="38"/>
      <c r="K20" s="38"/>
      <c r="L20" s="38"/>
      <c r="M20" s="38"/>
    </row>
    <row r="21" ht="18.75" customHeight="1">
      <c r="A21" s="159">
        <v>18.0</v>
      </c>
      <c r="B21" s="47"/>
      <c r="C21" s="86"/>
      <c r="D21" s="47"/>
      <c r="E21" s="47"/>
      <c r="F21" s="131"/>
      <c r="G21" s="145"/>
      <c r="H21" s="132"/>
      <c r="I21" s="160">
        <f t="shared" si="3"/>
        <v>0</v>
      </c>
      <c r="J21" s="38"/>
      <c r="K21" s="38"/>
      <c r="L21" s="38"/>
      <c r="M21" s="38"/>
    </row>
    <row r="22" ht="18.75" customHeight="1">
      <c r="A22" s="159">
        <v>19.0</v>
      </c>
      <c r="B22" s="144"/>
      <c r="C22" s="86"/>
      <c r="D22" s="86"/>
      <c r="E22" s="86"/>
      <c r="F22" s="131"/>
      <c r="G22" s="132"/>
      <c r="H22" s="132"/>
      <c r="I22" s="160">
        <f t="shared" si="3"/>
        <v>0</v>
      </c>
      <c r="J22" s="38"/>
      <c r="K22" s="38"/>
      <c r="L22" s="38"/>
      <c r="M22" s="38"/>
    </row>
    <row r="23" ht="18.75" customHeight="1">
      <c r="A23" s="159">
        <v>20.0</v>
      </c>
      <c r="B23" s="144"/>
      <c r="C23" s="86"/>
      <c r="D23" s="86"/>
      <c r="E23" s="86"/>
      <c r="F23" s="131"/>
      <c r="G23" s="132"/>
      <c r="H23" s="132"/>
      <c r="I23" s="160"/>
      <c r="J23" s="38"/>
      <c r="K23" s="38"/>
      <c r="L23" s="38"/>
      <c r="M23" s="38"/>
    </row>
    <row r="24" ht="18.75" customHeight="1">
      <c r="A24" s="159">
        <v>21.0</v>
      </c>
      <c r="B24" s="144"/>
      <c r="C24" s="86"/>
      <c r="D24" s="86"/>
      <c r="E24" s="86"/>
      <c r="F24" s="131"/>
      <c r="G24" s="132"/>
      <c r="H24" s="132"/>
      <c r="I24" s="160">
        <f t="shared" ref="I24:I30" si="4">H24-G24</f>
        <v>0</v>
      </c>
      <c r="J24" s="38"/>
      <c r="K24" s="38"/>
      <c r="L24" s="38"/>
      <c r="M24" s="38"/>
    </row>
    <row r="25" ht="18.75" customHeight="1">
      <c r="A25" s="159">
        <v>22.0</v>
      </c>
      <c r="B25" s="144"/>
      <c r="C25" s="86"/>
      <c r="D25" s="86"/>
      <c r="E25" s="86"/>
      <c r="F25" s="131"/>
      <c r="G25" s="132"/>
      <c r="H25" s="132"/>
      <c r="I25" s="160">
        <f t="shared" si="4"/>
        <v>0</v>
      </c>
      <c r="J25" s="38"/>
      <c r="K25" s="38"/>
      <c r="L25" s="38"/>
      <c r="M25" s="38"/>
    </row>
    <row r="26" ht="18.75" customHeight="1">
      <c r="A26" s="159">
        <v>23.0</v>
      </c>
      <c r="B26" s="144"/>
      <c r="C26" s="86"/>
      <c r="D26" s="86"/>
      <c r="E26" s="86"/>
      <c r="F26" s="131"/>
      <c r="G26" s="132"/>
      <c r="H26" s="132"/>
      <c r="I26" s="160">
        <f t="shared" si="4"/>
        <v>0</v>
      </c>
      <c r="J26" s="38"/>
      <c r="K26" s="38"/>
      <c r="L26" s="38"/>
      <c r="M26" s="38"/>
    </row>
    <row r="27" ht="18.75" customHeight="1">
      <c r="A27" s="159">
        <v>24.0</v>
      </c>
      <c r="B27" s="144"/>
      <c r="C27" s="86"/>
      <c r="D27" s="86"/>
      <c r="E27" s="86"/>
      <c r="F27" s="131"/>
      <c r="G27" s="132"/>
      <c r="H27" s="132"/>
      <c r="I27" s="160">
        <f t="shared" si="4"/>
        <v>0</v>
      </c>
      <c r="J27" s="38"/>
      <c r="K27" s="38"/>
      <c r="L27" s="38"/>
      <c r="M27" s="38"/>
    </row>
    <row r="28" ht="18.75" customHeight="1">
      <c r="A28" s="159">
        <v>25.0</v>
      </c>
      <c r="B28" s="144"/>
      <c r="C28" s="86"/>
      <c r="D28" s="86"/>
      <c r="E28" s="86"/>
      <c r="F28" s="131"/>
      <c r="G28" s="132"/>
      <c r="H28" s="132"/>
      <c r="I28" s="160">
        <f t="shared" si="4"/>
        <v>0</v>
      </c>
      <c r="J28" s="38"/>
      <c r="K28" s="38"/>
      <c r="L28" s="38"/>
      <c r="M28" s="38"/>
    </row>
    <row r="29" ht="18.75" customHeight="1">
      <c r="A29" s="159">
        <v>26.0</v>
      </c>
      <c r="B29" s="144"/>
      <c r="C29" s="86"/>
      <c r="D29" s="86"/>
      <c r="E29" s="86"/>
      <c r="F29" s="131"/>
      <c r="G29" s="132"/>
      <c r="H29" s="132"/>
      <c r="I29" s="160">
        <f t="shared" si="4"/>
        <v>0</v>
      </c>
      <c r="J29" s="38"/>
      <c r="K29" s="38"/>
      <c r="L29" s="38"/>
      <c r="M29" s="38"/>
    </row>
    <row r="30" ht="18.75" customHeight="1">
      <c r="A30" s="159">
        <v>27.0</v>
      </c>
      <c r="B30" s="144"/>
      <c r="C30" s="86"/>
      <c r="D30" s="86"/>
      <c r="E30" s="86"/>
      <c r="F30" s="131"/>
      <c r="G30" s="132"/>
      <c r="H30" s="132"/>
      <c r="I30" s="160">
        <f t="shared" si="4"/>
        <v>0</v>
      </c>
      <c r="J30" s="47"/>
      <c r="K30" s="47"/>
      <c r="L30" s="47"/>
      <c r="M30" s="47"/>
    </row>
    <row r="31" ht="18.75" customHeight="1">
      <c r="A31" s="150"/>
      <c r="B31" s="151"/>
      <c r="C31" s="87"/>
      <c r="D31" s="87"/>
      <c r="E31" s="87"/>
      <c r="F31" s="152">
        <f>SUM(F4:F30)</f>
        <v>23</v>
      </c>
      <c r="G31" s="153"/>
      <c r="H31" s="153"/>
      <c r="I31" s="150"/>
      <c r="J31" s="150"/>
      <c r="K31" s="150"/>
      <c r="L31" s="150"/>
      <c r="M31" s="150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 t="s">
        <v>123</v>
      </c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73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8.75" customHeight="1">
      <c r="A224" s="72"/>
      <c r="B224" s="73"/>
      <c r="C224" s="87"/>
      <c r="D224" s="74"/>
      <c r="E224" s="74"/>
      <c r="F224" s="72"/>
      <c r="G224" s="76"/>
      <c r="H224" s="76"/>
      <c r="I224" s="72"/>
      <c r="J224" s="24"/>
      <c r="K224" s="24"/>
      <c r="L224" s="24"/>
      <c r="M224" s="24"/>
    </row>
    <row r="225" ht="18.75" customHeight="1">
      <c r="A225" s="72"/>
      <c r="B225" s="73"/>
      <c r="C225" s="87"/>
      <c r="D225" s="74"/>
      <c r="E225" s="74"/>
      <c r="F225" s="72"/>
      <c r="G225" s="76"/>
      <c r="H225" s="76"/>
      <c r="I225" s="72"/>
      <c r="J225" s="24"/>
      <c r="K225" s="24"/>
      <c r="L225" s="24"/>
      <c r="M225" s="24"/>
    </row>
    <row r="226" ht="18.75" customHeight="1">
      <c r="A226" s="72"/>
      <c r="B226" s="73"/>
      <c r="C226" s="87"/>
      <c r="D226" s="74"/>
      <c r="E226" s="74"/>
      <c r="F226" s="72"/>
      <c r="G226" s="76"/>
      <c r="H226" s="76"/>
      <c r="I226" s="72"/>
      <c r="J226" s="24"/>
      <c r="K226" s="24"/>
      <c r="L226" s="24"/>
      <c r="M226" s="24"/>
    </row>
    <row r="227" ht="18.75" customHeight="1">
      <c r="A227" s="72"/>
      <c r="B227" s="73"/>
      <c r="C227" s="87"/>
      <c r="D227" s="74"/>
      <c r="E227" s="74"/>
      <c r="F227" s="72"/>
      <c r="G227" s="76"/>
      <c r="H227" s="76"/>
      <c r="I227" s="72"/>
      <c r="J227" s="24"/>
      <c r="K227" s="24"/>
      <c r="L227" s="24"/>
      <c r="M227" s="24"/>
    </row>
    <row r="228" ht="18.75" customHeight="1">
      <c r="A228" s="72"/>
      <c r="B228" s="73"/>
      <c r="C228" s="87"/>
      <c r="D228" s="74"/>
      <c r="E228" s="74"/>
      <c r="F228" s="72"/>
      <c r="G228" s="76"/>
      <c r="H228" s="76"/>
      <c r="I228" s="72"/>
      <c r="J228" s="24"/>
      <c r="K228" s="24"/>
      <c r="L228" s="24"/>
      <c r="M228" s="24"/>
    </row>
    <row r="229" ht="18.75" customHeight="1">
      <c r="A229" s="72"/>
      <c r="B229" s="73"/>
      <c r="C229" s="87"/>
      <c r="D229" s="74"/>
      <c r="E229" s="74"/>
      <c r="F229" s="72"/>
      <c r="G229" s="76"/>
      <c r="H229" s="76"/>
      <c r="I229" s="72"/>
      <c r="J229" s="24"/>
      <c r="K229" s="24"/>
      <c r="L229" s="24"/>
      <c r="M229" s="24"/>
    </row>
    <row r="230" ht="18.75" customHeight="1">
      <c r="A230" s="72"/>
      <c r="B230" s="73"/>
      <c r="C230" s="87"/>
      <c r="D230" s="74"/>
      <c r="E230" s="74"/>
      <c r="F230" s="72"/>
      <c r="G230" s="76"/>
      <c r="H230" s="76"/>
      <c r="I230" s="72"/>
      <c r="J230" s="24"/>
      <c r="K230" s="24"/>
      <c r="L230" s="24"/>
      <c r="M230" s="24"/>
    </row>
    <row r="231" ht="18.75" customHeight="1">
      <c r="A231" s="72"/>
      <c r="B231" s="73"/>
      <c r="C231" s="87"/>
      <c r="D231" s="74"/>
      <c r="E231" s="74"/>
      <c r="F231" s="72"/>
      <c r="G231" s="76"/>
      <c r="H231" s="76"/>
      <c r="I231" s="72"/>
      <c r="J231" s="24"/>
      <c r="K231" s="24"/>
      <c r="L231" s="24"/>
      <c r="M231" s="24"/>
    </row>
    <row r="232" ht="18.75" customHeight="1">
      <c r="A232" s="72"/>
      <c r="B232" s="73"/>
      <c r="C232" s="87"/>
      <c r="D232" s="74"/>
      <c r="E232" s="74"/>
      <c r="F232" s="72"/>
      <c r="G232" s="76"/>
      <c r="H232" s="76"/>
      <c r="I232" s="72"/>
      <c r="J232" s="24"/>
      <c r="K232" s="24"/>
      <c r="L232" s="24"/>
      <c r="M232" s="24"/>
    </row>
    <row r="233" ht="18.75" customHeight="1">
      <c r="A233" s="72"/>
      <c r="B233" s="73"/>
      <c r="C233" s="87"/>
      <c r="D233" s="74"/>
      <c r="E233" s="74"/>
      <c r="F233" s="72"/>
      <c r="G233" s="76"/>
      <c r="H233" s="76"/>
      <c r="I233" s="72"/>
      <c r="J233" s="24"/>
      <c r="K233" s="24"/>
      <c r="L233" s="24"/>
      <c r="M233" s="24"/>
    </row>
    <row r="234" ht="18.75" customHeight="1">
      <c r="A234" s="72"/>
      <c r="B234" s="73"/>
      <c r="C234" s="87"/>
      <c r="D234" s="74"/>
      <c r="E234" s="74"/>
      <c r="F234" s="72"/>
      <c r="G234" s="76"/>
      <c r="H234" s="76"/>
      <c r="I234" s="72"/>
      <c r="J234" s="24"/>
      <c r="K234" s="24"/>
      <c r="L234" s="24"/>
      <c r="M234" s="24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B12:B13"/>
    <mergeCell ref="B15:B16"/>
    <mergeCell ref="E15:E16"/>
    <mergeCell ref="B20:B21"/>
    <mergeCell ref="D20:D21"/>
    <mergeCell ref="E20:E21"/>
    <mergeCell ref="A1:M2"/>
    <mergeCell ref="J4:J30"/>
    <mergeCell ref="K4:K30"/>
    <mergeCell ref="L4:L30"/>
    <mergeCell ref="M4:M30"/>
    <mergeCell ref="D12:D13"/>
    <mergeCell ref="E12:E13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6.86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92" t="s">
        <v>329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ht="18.75" customHeight="1">
      <c r="A2" s="9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6"/>
    </row>
    <row r="3" ht="18.75" customHeight="1">
      <c r="A3" s="174" t="s">
        <v>2</v>
      </c>
      <c r="B3" s="120" t="s">
        <v>3</v>
      </c>
      <c r="C3" s="98" t="s">
        <v>4</v>
      </c>
      <c r="D3" s="175" t="s">
        <v>5</v>
      </c>
      <c r="E3" s="175" t="s">
        <v>6</v>
      </c>
      <c r="F3" s="176" t="s">
        <v>7</v>
      </c>
      <c r="G3" s="177" t="s">
        <v>8</v>
      </c>
      <c r="H3" s="177" t="s">
        <v>9</v>
      </c>
      <c r="I3" s="174" t="s">
        <v>10</v>
      </c>
      <c r="J3" s="98" t="s">
        <v>11</v>
      </c>
      <c r="K3" s="98" t="s">
        <v>12</v>
      </c>
      <c r="L3" s="98" t="s">
        <v>13</v>
      </c>
      <c r="M3" s="98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127">
        <v>1.0</v>
      </c>
      <c r="B4" s="178">
        <v>45422.0</v>
      </c>
      <c r="C4" s="80" t="s">
        <v>385</v>
      </c>
      <c r="D4" s="171" t="s">
        <v>316</v>
      </c>
      <c r="E4" s="179" t="s">
        <v>93</v>
      </c>
      <c r="F4" s="131">
        <v>1.0</v>
      </c>
      <c r="G4" s="132"/>
      <c r="H4" s="132">
        <v>5400.0</v>
      </c>
      <c r="I4" s="132">
        <f t="shared" ref="I4:I25" si="1">H4-G4</f>
        <v>5400</v>
      </c>
      <c r="J4" s="34">
        <f>SUM(H4:H25)</f>
        <v>100530</v>
      </c>
      <c r="K4" s="37"/>
      <c r="L4" s="39"/>
      <c r="M4" s="41"/>
    </row>
    <row r="5" ht="18.75" customHeight="1">
      <c r="A5" s="127">
        <v>2.0</v>
      </c>
      <c r="B5" s="169">
        <v>45422.0</v>
      </c>
      <c r="C5" s="80" t="s">
        <v>386</v>
      </c>
      <c r="D5" s="180" t="s">
        <v>387</v>
      </c>
      <c r="E5" s="172" t="s">
        <v>57</v>
      </c>
      <c r="F5" s="131">
        <v>1.0</v>
      </c>
      <c r="G5" s="132"/>
      <c r="H5" s="132">
        <v>4200.0</v>
      </c>
      <c r="I5" s="132">
        <f t="shared" si="1"/>
        <v>4200</v>
      </c>
      <c r="J5" s="38"/>
      <c r="K5" s="38"/>
      <c r="L5" s="38"/>
      <c r="M5" s="38"/>
    </row>
    <row r="6" ht="18.75" customHeight="1">
      <c r="A6" s="127">
        <v>3.0</v>
      </c>
      <c r="B6" s="47"/>
      <c r="C6" s="86" t="s">
        <v>358</v>
      </c>
      <c r="D6" s="47"/>
      <c r="E6" s="47"/>
      <c r="F6" s="131">
        <v>2.0</v>
      </c>
      <c r="G6" s="145"/>
      <c r="H6" s="132">
        <v>3100.0</v>
      </c>
      <c r="I6" s="132">
        <f t="shared" si="1"/>
        <v>3100</v>
      </c>
      <c r="J6" s="38"/>
      <c r="K6" s="38"/>
      <c r="L6" s="38"/>
      <c r="M6" s="38"/>
      <c r="N6" s="83"/>
    </row>
    <row r="7" ht="18.75" customHeight="1">
      <c r="A7" s="127">
        <v>4.0</v>
      </c>
      <c r="B7" s="133">
        <v>45430.0</v>
      </c>
      <c r="C7" s="86" t="s">
        <v>388</v>
      </c>
      <c r="D7" s="137" t="s">
        <v>144</v>
      </c>
      <c r="E7" s="137" t="s">
        <v>106</v>
      </c>
      <c r="F7" s="131">
        <v>1.0</v>
      </c>
      <c r="G7" s="132">
        <v>4950.0</v>
      </c>
      <c r="H7" s="132">
        <v>9900.0</v>
      </c>
      <c r="I7" s="132">
        <f t="shared" si="1"/>
        <v>4950</v>
      </c>
      <c r="J7" s="38"/>
      <c r="K7" s="38"/>
      <c r="L7" s="38"/>
      <c r="M7" s="38"/>
      <c r="N7" s="83"/>
    </row>
    <row r="8" ht="18.75" customHeight="1">
      <c r="A8" s="127">
        <v>5.0</v>
      </c>
      <c r="B8" s="47"/>
      <c r="C8" s="86" t="s">
        <v>38</v>
      </c>
      <c r="D8" s="47"/>
      <c r="E8" s="47"/>
      <c r="F8" s="131">
        <v>1.0</v>
      </c>
      <c r="G8" s="132"/>
      <c r="H8" s="132">
        <v>3000.0</v>
      </c>
      <c r="I8" s="132">
        <f t="shared" si="1"/>
        <v>3000</v>
      </c>
      <c r="J8" s="38"/>
      <c r="K8" s="38"/>
      <c r="L8" s="38"/>
      <c r="M8" s="38"/>
      <c r="N8" s="83"/>
    </row>
    <row r="9" ht="18.75" customHeight="1">
      <c r="A9" s="127">
        <v>6.0</v>
      </c>
      <c r="B9" s="181">
        <v>45430.0</v>
      </c>
      <c r="C9" s="86" t="s">
        <v>389</v>
      </c>
      <c r="D9" s="140" t="s">
        <v>240</v>
      </c>
      <c r="E9" s="127" t="s">
        <v>134</v>
      </c>
      <c r="F9" s="131">
        <v>1.0</v>
      </c>
      <c r="G9" s="145"/>
      <c r="H9" s="132">
        <v>5800.0</v>
      </c>
      <c r="I9" s="132">
        <f t="shared" si="1"/>
        <v>5800</v>
      </c>
      <c r="J9" s="38"/>
      <c r="K9" s="38"/>
      <c r="L9" s="38"/>
      <c r="M9" s="38"/>
    </row>
    <row r="10" ht="18.75" customHeight="1">
      <c r="A10" s="127">
        <v>7.0</v>
      </c>
      <c r="B10" s="144">
        <v>45431.0</v>
      </c>
      <c r="C10" s="86" t="s">
        <v>389</v>
      </c>
      <c r="D10" s="140" t="s">
        <v>240</v>
      </c>
      <c r="E10" s="127" t="s">
        <v>168</v>
      </c>
      <c r="F10" s="131">
        <v>1.0</v>
      </c>
      <c r="G10" s="145"/>
      <c r="H10" s="132">
        <v>5800.0</v>
      </c>
      <c r="I10" s="132">
        <f t="shared" si="1"/>
        <v>5800</v>
      </c>
      <c r="J10" s="38"/>
      <c r="K10" s="38"/>
      <c r="L10" s="38"/>
      <c r="M10" s="38"/>
    </row>
    <row r="11" ht="18.75" customHeight="1">
      <c r="A11" s="127">
        <v>8.0</v>
      </c>
      <c r="B11" s="133">
        <v>45431.0</v>
      </c>
      <c r="C11" s="86" t="s">
        <v>90</v>
      </c>
      <c r="D11" s="137" t="s">
        <v>87</v>
      </c>
      <c r="E11" s="137" t="s">
        <v>28</v>
      </c>
      <c r="F11" s="131">
        <v>1.0</v>
      </c>
      <c r="G11" s="132"/>
      <c r="H11" s="132">
        <v>5400.0</v>
      </c>
      <c r="I11" s="132">
        <f t="shared" si="1"/>
        <v>5400</v>
      </c>
      <c r="J11" s="38"/>
      <c r="K11" s="38"/>
      <c r="L11" s="38"/>
      <c r="M11" s="38"/>
    </row>
    <row r="12" ht="18.75" customHeight="1">
      <c r="A12" s="127">
        <v>9.0</v>
      </c>
      <c r="B12" s="47"/>
      <c r="C12" s="86" t="s">
        <v>390</v>
      </c>
      <c r="D12" s="47"/>
      <c r="E12" s="47"/>
      <c r="F12" s="131">
        <v>1.0</v>
      </c>
      <c r="G12" s="132"/>
      <c r="H12" s="132">
        <v>1800.0</v>
      </c>
      <c r="I12" s="132">
        <f t="shared" si="1"/>
        <v>1800</v>
      </c>
      <c r="J12" s="38"/>
      <c r="K12" s="38"/>
      <c r="L12" s="38"/>
      <c r="M12" s="38"/>
    </row>
    <row r="13" ht="18.75" customHeight="1">
      <c r="A13" s="127">
        <v>10.0</v>
      </c>
      <c r="B13" s="144">
        <v>45433.0</v>
      </c>
      <c r="C13" s="86" t="s">
        <v>391</v>
      </c>
      <c r="D13" s="86" t="s">
        <v>144</v>
      </c>
      <c r="E13" s="86" t="s">
        <v>106</v>
      </c>
      <c r="F13" s="131">
        <v>1.0</v>
      </c>
      <c r="G13" s="132"/>
      <c r="H13" s="132">
        <v>3780.0</v>
      </c>
      <c r="I13" s="132">
        <f t="shared" si="1"/>
        <v>3780</v>
      </c>
      <c r="J13" s="38"/>
      <c r="K13" s="38"/>
      <c r="L13" s="38"/>
      <c r="M13" s="38"/>
    </row>
    <row r="14" ht="18.75" customHeight="1">
      <c r="A14" s="127">
        <v>11.0</v>
      </c>
      <c r="B14" s="144">
        <v>45434.0</v>
      </c>
      <c r="C14" s="86" t="s">
        <v>390</v>
      </c>
      <c r="D14" s="86" t="s">
        <v>382</v>
      </c>
      <c r="E14" s="86" t="s">
        <v>28</v>
      </c>
      <c r="F14" s="131">
        <v>1.0</v>
      </c>
      <c r="G14" s="132"/>
      <c r="H14" s="132">
        <v>1800.0</v>
      </c>
      <c r="I14" s="132">
        <f t="shared" si="1"/>
        <v>1800</v>
      </c>
      <c r="J14" s="38"/>
      <c r="K14" s="38"/>
      <c r="L14" s="38"/>
      <c r="M14" s="38"/>
    </row>
    <row r="15" ht="18.75" customHeight="1">
      <c r="A15" s="127">
        <v>12.0</v>
      </c>
      <c r="B15" s="144">
        <v>45434.0</v>
      </c>
      <c r="C15" s="86" t="s">
        <v>343</v>
      </c>
      <c r="D15" s="86" t="s">
        <v>302</v>
      </c>
      <c r="E15" s="86" t="s">
        <v>61</v>
      </c>
      <c r="F15" s="131">
        <v>4.0</v>
      </c>
      <c r="G15" s="132"/>
      <c r="H15" s="132">
        <v>9100.0</v>
      </c>
      <c r="I15" s="132">
        <f t="shared" si="1"/>
        <v>9100</v>
      </c>
      <c r="J15" s="38"/>
      <c r="K15" s="38"/>
      <c r="L15" s="38"/>
      <c r="M15" s="38"/>
    </row>
    <row r="16" ht="18.75" customHeight="1">
      <c r="A16" s="127">
        <v>13.0</v>
      </c>
      <c r="B16" s="144">
        <v>45436.0</v>
      </c>
      <c r="C16" s="86" t="s">
        <v>392</v>
      </c>
      <c r="D16" s="86" t="s">
        <v>357</v>
      </c>
      <c r="E16" s="86" t="s">
        <v>393</v>
      </c>
      <c r="F16" s="131">
        <v>1.0</v>
      </c>
      <c r="G16" s="132"/>
      <c r="H16" s="132">
        <v>4000.0</v>
      </c>
      <c r="I16" s="132">
        <f t="shared" si="1"/>
        <v>4000</v>
      </c>
      <c r="J16" s="38"/>
      <c r="K16" s="38"/>
      <c r="L16" s="38"/>
      <c r="M16" s="38"/>
    </row>
    <row r="17" ht="18.75" customHeight="1">
      <c r="A17" s="127">
        <v>14.0</v>
      </c>
      <c r="B17" s="144">
        <v>45438.0</v>
      </c>
      <c r="C17" s="86" t="s">
        <v>394</v>
      </c>
      <c r="D17" s="86" t="s">
        <v>71</v>
      </c>
      <c r="E17" s="86" t="s">
        <v>106</v>
      </c>
      <c r="F17" s="131">
        <v>1.0</v>
      </c>
      <c r="G17" s="132"/>
      <c r="H17" s="132">
        <v>4000.0</v>
      </c>
      <c r="I17" s="132">
        <f t="shared" si="1"/>
        <v>4000</v>
      </c>
      <c r="J17" s="38"/>
      <c r="K17" s="38"/>
      <c r="L17" s="38"/>
      <c r="M17" s="38"/>
    </row>
    <row r="18" ht="18.75" customHeight="1">
      <c r="A18" s="127">
        <v>15.0</v>
      </c>
      <c r="B18" s="144">
        <v>45438.0</v>
      </c>
      <c r="C18" s="86" t="s">
        <v>395</v>
      </c>
      <c r="D18" s="86" t="s">
        <v>396</v>
      </c>
      <c r="E18" s="86" t="s">
        <v>397</v>
      </c>
      <c r="F18" s="131">
        <v>1.0</v>
      </c>
      <c r="G18" s="132"/>
      <c r="H18" s="132">
        <v>1000.0</v>
      </c>
      <c r="I18" s="132">
        <f t="shared" si="1"/>
        <v>1000</v>
      </c>
      <c r="J18" s="38"/>
      <c r="K18" s="38"/>
      <c r="L18" s="38"/>
      <c r="M18" s="38"/>
    </row>
    <row r="19" ht="18.75" customHeight="1">
      <c r="A19" s="127">
        <v>16.0</v>
      </c>
      <c r="B19" s="144">
        <v>45441.0</v>
      </c>
      <c r="C19" s="86" t="s">
        <v>389</v>
      </c>
      <c r="D19" s="86"/>
      <c r="E19" s="86" t="s">
        <v>134</v>
      </c>
      <c r="F19" s="131">
        <v>1.0</v>
      </c>
      <c r="G19" s="132"/>
      <c r="H19" s="132">
        <v>5800.0</v>
      </c>
      <c r="I19" s="132">
        <f t="shared" si="1"/>
        <v>5800</v>
      </c>
      <c r="J19" s="38"/>
      <c r="K19" s="38"/>
      <c r="L19" s="38"/>
      <c r="M19" s="38"/>
    </row>
    <row r="20" ht="18.75" customHeight="1">
      <c r="A20" s="127">
        <v>17.0</v>
      </c>
      <c r="B20" s="30">
        <v>45444.0</v>
      </c>
      <c r="C20" s="86" t="s">
        <v>172</v>
      </c>
      <c r="D20" s="86" t="s">
        <v>62</v>
      </c>
      <c r="E20" s="86" t="s">
        <v>31</v>
      </c>
      <c r="F20" s="131">
        <v>1.0</v>
      </c>
      <c r="G20" s="132"/>
      <c r="H20" s="132">
        <v>3200.0</v>
      </c>
      <c r="I20" s="132">
        <f t="shared" si="1"/>
        <v>3200</v>
      </c>
      <c r="J20" s="38"/>
      <c r="K20" s="38"/>
      <c r="L20" s="38"/>
      <c r="M20" s="38"/>
    </row>
    <row r="21" ht="18.75" customHeight="1">
      <c r="A21" s="127">
        <v>18.0</v>
      </c>
      <c r="B21" s="30">
        <v>45446.0</v>
      </c>
      <c r="C21" s="86" t="s">
        <v>398</v>
      </c>
      <c r="D21" s="31" t="s">
        <v>399</v>
      </c>
      <c r="E21" s="31" t="s">
        <v>311</v>
      </c>
      <c r="F21" s="131">
        <v>1.0</v>
      </c>
      <c r="G21" s="33"/>
      <c r="H21" s="33">
        <v>8550.0</v>
      </c>
      <c r="I21" s="132">
        <f t="shared" si="1"/>
        <v>8550</v>
      </c>
      <c r="J21" s="38"/>
      <c r="K21" s="38"/>
      <c r="L21" s="38"/>
      <c r="M21" s="38"/>
    </row>
    <row r="22" ht="18.75" customHeight="1">
      <c r="A22" s="127">
        <v>19.0</v>
      </c>
      <c r="B22" s="30">
        <v>45449.0</v>
      </c>
      <c r="C22" s="86" t="s">
        <v>172</v>
      </c>
      <c r="D22" s="31" t="s">
        <v>27</v>
      </c>
      <c r="E22" s="31" t="s">
        <v>31</v>
      </c>
      <c r="F22" s="131">
        <v>1.0</v>
      </c>
      <c r="G22" s="33"/>
      <c r="H22" s="33">
        <v>3200.0</v>
      </c>
      <c r="I22" s="132">
        <f t="shared" si="1"/>
        <v>3200</v>
      </c>
      <c r="J22" s="38"/>
      <c r="K22" s="38"/>
      <c r="L22" s="38"/>
      <c r="M22" s="38"/>
    </row>
    <row r="23" ht="18.75" customHeight="1">
      <c r="A23" s="127">
        <v>20.0</v>
      </c>
      <c r="B23" s="30">
        <v>45450.0</v>
      </c>
      <c r="C23" s="86" t="s">
        <v>306</v>
      </c>
      <c r="D23" s="31" t="s">
        <v>128</v>
      </c>
      <c r="E23" s="31" t="s">
        <v>322</v>
      </c>
      <c r="F23" s="131">
        <v>1.0</v>
      </c>
      <c r="G23" s="33"/>
      <c r="H23" s="33">
        <v>2500.0</v>
      </c>
      <c r="I23" s="132">
        <f t="shared" si="1"/>
        <v>2500</v>
      </c>
      <c r="J23" s="38"/>
      <c r="K23" s="38"/>
      <c r="L23" s="38"/>
      <c r="M23" s="38"/>
    </row>
    <row r="24" ht="18.75" customHeight="1">
      <c r="A24" s="127">
        <v>21.0</v>
      </c>
      <c r="B24" s="30">
        <v>45451.0</v>
      </c>
      <c r="C24" s="86" t="s">
        <v>400</v>
      </c>
      <c r="D24" s="31"/>
      <c r="E24" s="31" t="s">
        <v>106</v>
      </c>
      <c r="F24" s="131">
        <v>1.0</v>
      </c>
      <c r="G24" s="33"/>
      <c r="H24" s="33">
        <v>6000.0</v>
      </c>
      <c r="I24" s="132">
        <f t="shared" si="1"/>
        <v>6000</v>
      </c>
      <c r="J24" s="38"/>
      <c r="K24" s="38"/>
      <c r="L24" s="38"/>
      <c r="M24" s="38"/>
    </row>
    <row r="25" ht="18.75" customHeight="1">
      <c r="A25" s="127">
        <v>22.0</v>
      </c>
      <c r="B25" s="30">
        <v>45440.0</v>
      </c>
      <c r="C25" s="86" t="s">
        <v>172</v>
      </c>
      <c r="D25" s="31" t="s">
        <v>401</v>
      </c>
      <c r="E25" s="31" t="s">
        <v>168</v>
      </c>
      <c r="F25" s="131">
        <v>1.0</v>
      </c>
      <c r="G25" s="33"/>
      <c r="H25" s="33">
        <v>3200.0</v>
      </c>
      <c r="I25" s="132">
        <f t="shared" si="1"/>
        <v>3200</v>
      </c>
      <c r="J25" s="47"/>
      <c r="K25" s="47"/>
      <c r="L25" s="47"/>
      <c r="M25" s="47"/>
    </row>
    <row r="26" ht="18.75" customHeight="1">
      <c r="A26" s="127">
        <v>23.0</v>
      </c>
      <c r="B26" s="73"/>
      <c r="C26" s="87"/>
      <c r="D26" s="74"/>
      <c r="E26" s="74"/>
      <c r="F26" s="72"/>
      <c r="G26" s="76"/>
      <c r="H26" s="76"/>
      <c r="I26" s="72"/>
      <c r="J26" s="24"/>
      <c r="K26" s="24"/>
      <c r="L26" s="24"/>
      <c r="M26" s="24"/>
    </row>
    <row r="27" ht="18.75" customHeight="1">
      <c r="A27" s="127">
        <v>24.0</v>
      </c>
      <c r="B27" s="73"/>
      <c r="C27" s="87"/>
      <c r="D27" s="74"/>
      <c r="E27" s="74"/>
      <c r="F27" s="72"/>
      <c r="G27" s="76"/>
      <c r="H27" s="76"/>
      <c r="I27" s="72"/>
      <c r="J27" s="24"/>
      <c r="K27" s="24"/>
      <c r="L27" s="24"/>
      <c r="M27" s="24"/>
    </row>
    <row r="28" ht="18.75" customHeight="1">
      <c r="A28" s="127">
        <v>25.0</v>
      </c>
      <c r="B28" s="73"/>
      <c r="C28" s="87"/>
      <c r="D28" s="74"/>
      <c r="E28" s="74"/>
      <c r="F28" s="72"/>
      <c r="G28" s="76"/>
      <c r="H28" s="76"/>
      <c r="I28" s="72"/>
      <c r="J28" s="24"/>
      <c r="K28" s="24"/>
      <c r="L28" s="24"/>
      <c r="M28" s="24"/>
    </row>
    <row r="29" ht="18.75" customHeight="1">
      <c r="A29" s="127">
        <v>26.0</v>
      </c>
      <c r="B29" s="73"/>
      <c r="C29" s="87"/>
      <c r="D29" s="74"/>
      <c r="E29" s="74"/>
      <c r="F29" s="72"/>
      <c r="G29" s="76"/>
      <c r="H29" s="76"/>
      <c r="I29" s="72"/>
      <c r="J29" s="24"/>
      <c r="K29" s="24"/>
      <c r="L29" s="24"/>
      <c r="M29" s="24"/>
    </row>
    <row r="30" ht="18.75" customHeight="1">
      <c r="A30" s="127">
        <v>27.0</v>
      </c>
      <c r="B30" s="73"/>
      <c r="C30" s="87"/>
      <c r="D30" s="74"/>
      <c r="E30" s="74"/>
      <c r="F30" s="72"/>
      <c r="G30" s="76"/>
      <c r="H30" s="76"/>
      <c r="I30" s="72"/>
      <c r="J30" s="24"/>
      <c r="K30" s="24"/>
      <c r="L30" s="24"/>
      <c r="M30" s="24"/>
    </row>
    <row r="31" ht="18.75" customHeight="1">
      <c r="A31" s="72"/>
      <c r="B31" s="73"/>
      <c r="C31" s="87"/>
      <c r="D31" s="74"/>
      <c r="E31" s="74"/>
      <c r="F31" s="72"/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/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59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5.75" customHeight="1">
      <c r="B224" s="59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5:B6"/>
    <mergeCell ref="B7:B8"/>
    <mergeCell ref="D7:D8"/>
    <mergeCell ref="E7:E8"/>
    <mergeCell ref="B11:B12"/>
    <mergeCell ref="D11:D12"/>
    <mergeCell ref="A1:M2"/>
    <mergeCell ref="J4:J25"/>
    <mergeCell ref="K4:K25"/>
    <mergeCell ref="L4:L25"/>
    <mergeCell ref="M4:M25"/>
    <mergeCell ref="D5:D6"/>
    <mergeCell ref="E5:E6"/>
    <mergeCell ref="E11:E12"/>
  </mergeCells>
  <conditionalFormatting sqref="B4:B19">
    <cfRule type="expression" dxfId="0" priority="1">
      <formula>LEN(TRIM(B4))=0</formula>
    </cfRule>
  </conditionalFormatting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18.0"/>
    <col customWidth="1" min="8" max="8" width="18.86"/>
    <col customWidth="1" min="9" max="9" width="20.43"/>
    <col customWidth="1" min="10" max="10" width="22.0"/>
    <col customWidth="1" min="11" max="11" width="21.57"/>
    <col customWidth="1" min="12" max="12" width="23.43"/>
    <col customWidth="1" min="13" max="13" width="24.57"/>
    <col customWidth="1" min="14" max="14" width="22.86"/>
    <col customWidth="1" min="15" max="26" width="9.14"/>
  </cols>
  <sheetData>
    <row r="1" ht="24.0" customHeight="1">
      <c r="A1" s="92" t="s">
        <v>329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ht="18.75" customHeight="1">
      <c r="A2" s="9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6"/>
    </row>
    <row r="3" ht="18.75" customHeight="1">
      <c r="A3" s="174" t="s">
        <v>2</v>
      </c>
      <c r="B3" s="124" t="s">
        <v>3</v>
      </c>
      <c r="C3" s="78" t="s">
        <v>4</v>
      </c>
      <c r="D3" s="125" t="s">
        <v>5</v>
      </c>
      <c r="E3" s="125" t="s">
        <v>6</v>
      </c>
      <c r="F3" s="126" t="s">
        <v>7</v>
      </c>
      <c r="G3" s="34" t="s">
        <v>8</v>
      </c>
      <c r="H3" s="34" t="s">
        <v>9</v>
      </c>
      <c r="I3" s="174"/>
      <c r="J3" s="98" t="s">
        <v>11</v>
      </c>
      <c r="K3" s="98" t="s">
        <v>12</v>
      </c>
      <c r="L3" s="98" t="s">
        <v>13</v>
      </c>
      <c r="M3" s="98" t="s">
        <v>14</v>
      </c>
      <c r="N3" s="25" t="s">
        <v>124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8.75" customHeight="1">
      <c r="A4" s="159">
        <v>1.0</v>
      </c>
      <c r="B4" s="168">
        <v>45451.0</v>
      </c>
      <c r="C4" s="182" t="s">
        <v>402</v>
      </c>
      <c r="D4" s="182" t="s">
        <v>71</v>
      </c>
      <c r="E4" s="182" t="s">
        <v>403</v>
      </c>
      <c r="F4" s="183">
        <v>1.0</v>
      </c>
      <c r="G4" s="184"/>
      <c r="H4" s="184">
        <v>4500.0</v>
      </c>
      <c r="I4" s="160"/>
      <c r="J4" s="34">
        <f>SUM(H4:H25)</f>
        <v>96290</v>
      </c>
      <c r="K4" s="37"/>
      <c r="L4" s="39"/>
      <c r="M4" s="41"/>
    </row>
    <row r="5" ht="18.75" customHeight="1">
      <c r="A5" s="159">
        <v>2.0</v>
      </c>
      <c r="B5" s="168">
        <v>45453.0</v>
      </c>
      <c r="C5" s="182" t="s">
        <v>353</v>
      </c>
      <c r="D5" s="182" t="s">
        <v>405</v>
      </c>
      <c r="E5" s="182" t="s">
        <v>28</v>
      </c>
      <c r="F5" s="183">
        <v>1.0</v>
      </c>
      <c r="G5" s="184"/>
      <c r="H5" s="184">
        <v>8550.0</v>
      </c>
      <c r="I5" s="160"/>
      <c r="J5" s="38"/>
      <c r="K5" s="38"/>
      <c r="L5" s="38"/>
      <c r="M5" s="38"/>
    </row>
    <row r="6" ht="18.75" customHeight="1">
      <c r="A6" s="159">
        <v>3.0</v>
      </c>
      <c r="B6" s="168">
        <v>45455.0</v>
      </c>
      <c r="C6" s="182" t="s">
        <v>385</v>
      </c>
      <c r="D6" s="182" t="s">
        <v>320</v>
      </c>
      <c r="E6" s="182" t="s">
        <v>201</v>
      </c>
      <c r="F6" s="183">
        <v>1.0</v>
      </c>
      <c r="G6" s="184"/>
      <c r="H6" s="184">
        <v>6000.0</v>
      </c>
      <c r="I6" s="160"/>
      <c r="J6" s="38"/>
      <c r="K6" s="38"/>
      <c r="L6" s="38"/>
      <c r="M6" s="38"/>
      <c r="N6" s="83"/>
    </row>
    <row r="7" ht="18.75" customHeight="1">
      <c r="A7" s="159">
        <v>4.0</v>
      </c>
      <c r="B7" s="168">
        <v>45457.0</v>
      </c>
      <c r="C7" s="182" t="s">
        <v>394</v>
      </c>
      <c r="D7" s="182" t="s">
        <v>88</v>
      </c>
      <c r="E7" s="182" t="s">
        <v>322</v>
      </c>
      <c r="F7" s="183">
        <v>1.0</v>
      </c>
      <c r="G7" s="184">
        <v>750.0</v>
      </c>
      <c r="H7" s="184">
        <v>2500.0</v>
      </c>
      <c r="I7" s="160"/>
      <c r="J7" s="38"/>
      <c r="K7" s="38"/>
      <c r="L7" s="38"/>
      <c r="M7" s="38"/>
      <c r="N7" s="83"/>
    </row>
    <row r="8" ht="18.75" customHeight="1">
      <c r="A8" s="159">
        <v>5.0</v>
      </c>
      <c r="B8" s="168">
        <v>45458.0</v>
      </c>
      <c r="C8" s="182" t="s">
        <v>228</v>
      </c>
      <c r="D8" s="182" t="s">
        <v>407</v>
      </c>
      <c r="E8" s="182" t="s">
        <v>408</v>
      </c>
      <c r="F8" s="183">
        <v>1.0</v>
      </c>
      <c r="G8" s="184"/>
      <c r="H8" s="184">
        <v>3500.0</v>
      </c>
      <c r="I8" s="160"/>
      <c r="J8" s="38"/>
      <c r="K8" s="38"/>
      <c r="L8" s="38"/>
      <c r="M8" s="38"/>
      <c r="N8" s="83"/>
    </row>
    <row r="9" ht="18.75" customHeight="1">
      <c r="A9" s="159">
        <v>6.0</v>
      </c>
      <c r="B9" s="168">
        <v>45458.0</v>
      </c>
      <c r="C9" s="182" t="s">
        <v>409</v>
      </c>
      <c r="D9" s="182" t="s">
        <v>410</v>
      </c>
      <c r="E9" s="182" t="s">
        <v>411</v>
      </c>
      <c r="F9" s="183">
        <v>1.0</v>
      </c>
      <c r="G9" s="184"/>
      <c r="H9" s="184">
        <v>6200.0</v>
      </c>
      <c r="I9" s="160"/>
      <c r="J9" s="38"/>
      <c r="K9" s="38"/>
      <c r="L9" s="38"/>
      <c r="M9" s="38"/>
    </row>
    <row r="10" ht="18.75" customHeight="1">
      <c r="A10" s="159">
        <v>7.0</v>
      </c>
      <c r="B10" s="168">
        <v>45466.0</v>
      </c>
      <c r="C10" s="182" t="s">
        <v>172</v>
      </c>
      <c r="D10" s="182" t="s">
        <v>64</v>
      </c>
      <c r="E10" s="182" t="s">
        <v>156</v>
      </c>
      <c r="F10" s="183">
        <v>1.0</v>
      </c>
      <c r="G10" s="184"/>
      <c r="H10" s="184">
        <v>3200.0</v>
      </c>
      <c r="I10" s="160"/>
      <c r="J10" s="38"/>
      <c r="K10" s="38"/>
      <c r="L10" s="38"/>
      <c r="M10" s="38"/>
    </row>
    <row r="11" ht="18.75" customHeight="1">
      <c r="A11" s="159">
        <v>8.0</v>
      </c>
      <c r="B11" s="168">
        <v>45467.0</v>
      </c>
      <c r="C11" s="182" t="s">
        <v>409</v>
      </c>
      <c r="D11" s="182" t="s">
        <v>416</v>
      </c>
      <c r="E11" s="182" t="s">
        <v>147</v>
      </c>
      <c r="F11" s="183">
        <v>1.0</v>
      </c>
      <c r="G11" s="184"/>
      <c r="H11" s="184">
        <v>6200.0</v>
      </c>
      <c r="I11" s="160"/>
      <c r="J11" s="38"/>
      <c r="K11" s="38"/>
      <c r="L11" s="38"/>
      <c r="M11" s="38"/>
    </row>
    <row r="12" ht="18.75" customHeight="1">
      <c r="A12" s="159">
        <v>9.0</v>
      </c>
      <c r="B12" s="168">
        <v>45469.0</v>
      </c>
      <c r="C12" s="182" t="s">
        <v>419</v>
      </c>
      <c r="D12" s="182" t="s">
        <v>421</v>
      </c>
      <c r="E12" s="182" t="s">
        <v>315</v>
      </c>
      <c r="F12" s="183">
        <v>1.0</v>
      </c>
      <c r="G12" s="184"/>
      <c r="H12" s="184">
        <v>6200.0</v>
      </c>
      <c r="I12" s="160"/>
      <c r="J12" s="38"/>
      <c r="K12" s="38"/>
      <c r="L12" s="38"/>
      <c r="M12" s="38"/>
    </row>
    <row r="13" ht="18.75" customHeight="1">
      <c r="A13" s="159">
        <v>10.0</v>
      </c>
      <c r="B13" s="168">
        <v>45470.0</v>
      </c>
      <c r="C13" s="57" t="s">
        <v>409</v>
      </c>
      <c r="D13" s="182" t="s">
        <v>91</v>
      </c>
      <c r="E13" s="182" t="s">
        <v>31</v>
      </c>
      <c r="F13" s="183">
        <v>1.0</v>
      </c>
      <c r="G13" s="184"/>
      <c r="H13" s="184">
        <v>6200.0</v>
      </c>
      <c r="I13" s="160"/>
      <c r="J13" s="38"/>
      <c r="K13" s="38"/>
      <c r="L13" s="38"/>
      <c r="M13" s="38"/>
    </row>
    <row r="14" ht="18.75" customHeight="1">
      <c r="A14" s="159">
        <v>11.0</v>
      </c>
      <c r="B14" s="168">
        <v>45463.0</v>
      </c>
      <c r="C14" s="182" t="s">
        <v>424</v>
      </c>
      <c r="D14" s="182" t="s">
        <v>425</v>
      </c>
      <c r="E14" s="182" t="s">
        <v>134</v>
      </c>
      <c r="F14" s="183">
        <v>1.0</v>
      </c>
      <c r="G14" s="184"/>
      <c r="H14" s="184">
        <v>4320.0</v>
      </c>
      <c r="I14" s="160"/>
      <c r="J14" s="38"/>
      <c r="K14" s="38"/>
      <c r="L14" s="38"/>
      <c r="M14" s="38"/>
    </row>
    <row r="15" ht="18.75" customHeight="1">
      <c r="A15" s="159">
        <v>12.0</v>
      </c>
      <c r="B15" s="168">
        <v>45478.0</v>
      </c>
      <c r="C15" s="182" t="s">
        <v>426</v>
      </c>
      <c r="D15" s="182" t="s">
        <v>259</v>
      </c>
      <c r="E15" s="182" t="s">
        <v>260</v>
      </c>
      <c r="F15" s="183">
        <v>1.0</v>
      </c>
      <c r="G15" s="184"/>
      <c r="H15" s="184">
        <v>2500.0</v>
      </c>
      <c r="I15" s="160"/>
      <c r="J15" s="38"/>
      <c r="K15" s="38"/>
      <c r="L15" s="38"/>
      <c r="M15" s="38"/>
    </row>
    <row r="16" ht="18.75" customHeight="1">
      <c r="A16" s="159">
        <v>13.0</v>
      </c>
      <c r="B16" s="168">
        <v>45478.0</v>
      </c>
      <c r="C16" s="182" t="s">
        <v>426</v>
      </c>
      <c r="D16" s="182" t="s">
        <v>91</v>
      </c>
      <c r="E16" s="182" t="s">
        <v>428</v>
      </c>
      <c r="F16" s="183">
        <v>1.0</v>
      </c>
      <c r="G16" s="184"/>
      <c r="H16" s="184">
        <v>2500.0</v>
      </c>
      <c r="I16" s="160"/>
      <c r="J16" s="38"/>
      <c r="K16" s="38"/>
      <c r="L16" s="38"/>
      <c r="M16" s="38"/>
    </row>
    <row r="17" ht="18.75" customHeight="1">
      <c r="A17" s="159">
        <v>14.0</v>
      </c>
      <c r="B17" s="168">
        <v>45479.0</v>
      </c>
      <c r="C17" s="182" t="s">
        <v>228</v>
      </c>
      <c r="D17" s="182" t="s">
        <v>431</v>
      </c>
      <c r="E17" s="182" t="s">
        <v>31</v>
      </c>
      <c r="F17" s="183">
        <v>1.0</v>
      </c>
      <c r="G17" s="184"/>
      <c r="H17" s="184">
        <v>3500.0</v>
      </c>
      <c r="I17" s="160"/>
      <c r="J17" s="38"/>
      <c r="K17" s="38"/>
      <c r="L17" s="38"/>
      <c r="M17" s="38"/>
    </row>
    <row r="18" ht="18.75" customHeight="1">
      <c r="A18" s="159">
        <v>15.0</v>
      </c>
      <c r="B18" s="168">
        <v>45480.0</v>
      </c>
      <c r="C18" s="182" t="s">
        <v>434</v>
      </c>
      <c r="D18" s="182" t="s">
        <v>435</v>
      </c>
      <c r="E18" s="182" t="s">
        <v>150</v>
      </c>
      <c r="F18" s="183">
        <v>2.0</v>
      </c>
      <c r="G18" s="184"/>
      <c r="H18" s="184">
        <f>33800-3380</f>
        <v>30420</v>
      </c>
      <c r="I18" s="160"/>
      <c r="J18" s="38"/>
      <c r="K18" s="38"/>
      <c r="L18" s="38"/>
      <c r="M18" s="38"/>
    </row>
    <row r="19" ht="18.75" customHeight="1">
      <c r="A19" s="159">
        <v>16.0</v>
      </c>
      <c r="B19" s="168"/>
      <c r="C19" s="182"/>
      <c r="D19" s="182"/>
      <c r="E19" s="182"/>
      <c r="F19" s="183"/>
      <c r="G19" s="184"/>
      <c r="H19" s="184"/>
      <c r="I19" s="160"/>
      <c r="J19" s="38"/>
      <c r="K19" s="38"/>
      <c r="L19" s="38"/>
      <c r="M19" s="38"/>
    </row>
    <row r="20" ht="18.75" customHeight="1">
      <c r="A20" s="159">
        <v>17.0</v>
      </c>
      <c r="B20" s="168"/>
      <c r="C20" s="182"/>
      <c r="D20" s="182"/>
      <c r="E20" s="182"/>
      <c r="F20" s="183"/>
      <c r="G20" s="184"/>
      <c r="H20" s="184"/>
      <c r="I20" s="160"/>
      <c r="J20" s="38"/>
      <c r="K20" s="38"/>
      <c r="L20" s="38"/>
      <c r="M20" s="38"/>
    </row>
    <row r="21" ht="18.75" customHeight="1">
      <c r="A21" s="159">
        <v>18.0</v>
      </c>
      <c r="B21" s="168"/>
      <c r="C21" s="182"/>
      <c r="D21" s="182"/>
      <c r="E21" s="182"/>
      <c r="F21" s="183"/>
      <c r="G21" s="184"/>
      <c r="H21" s="184"/>
      <c r="I21" s="160"/>
      <c r="J21" s="38"/>
      <c r="K21" s="38"/>
      <c r="L21" s="38"/>
      <c r="M21" s="38"/>
    </row>
    <row r="22" ht="18.75" customHeight="1">
      <c r="A22" s="159">
        <v>19.0</v>
      </c>
      <c r="B22" s="168"/>
      <c r="C22" s="182"/>
      <c r="D22" s="182"/>
      <c r="E22" s="182"/>
      <c r="F22" s="183"/>
      <c r="G22" s="184"/>
      <c r="H22" s="184"/>
      <c r="I22" s="160"/>
      <c r="J22" s="38"/>
      <c r="K22" s="38"/>
      <c r="L22" s="38"/>
      <c r="M22" s="38"/>
    </row>
    <row r="23" ht="18.75" customHeight="1">
      <c r="A23" s="159">
        <v>20.0</v>
      </c>
      <c r="B23" s="168"/>
      <c r="C23" s="182"/>
      <c r="D23" s="182"/>
      <c r="E23" s="182"/>
      <c r="F23" s="183"/>
      <c r="G23" s="184"/>
      <c r="H23" s="184"/>
      <c r="I23" s="160"/>
      <c r="J23" s="38"/>
      <c r="K23" s="38"/>
      <c r="L23" s="38"/>
      <c r="M23" s="38"/>
    </row>
    <row r="24" ht="18.75" customHeight="1">
      <c r="A24" s="159">
        <v>21.0</v>
      </c>
      <c r="B24" s="168"/>
      <c r="C24" s="182"/>
      <c r="D24" s="182"/>
      <c r="E24" s="182"/>
      <c r="F24" s="183"/>
      <c r="G24" s="184"/>
      <c r="H24" s="184"/>
      <c r="I24" s="160"/>
      <c r="J24" s="38"/>
      <c r="K24" s="38"/>
      <c r="L24" s="38"/>
      <c r="M24" s="38"/>
    </row>
    <row r="25" ht="18.75" customHeight="1">
      <c r="A25" s="159">
        <v>22.0</v>
      </c>
      <c r="B25" s="168"/>
      <c r="C25" s="182"/>
      <c r="D25" s="182"/>
      <c r="E25" s="182"/>
      <c r="F25" s="183"/>
      <c r="G25" s="184"/>
      <c r="H25" s="184"/>
      <c r="I25" s="160"/>
      <c r="J25" s="47"/>
      <c r="K25" s="47"/>
      <c r="L25" s="47"/>
      <c r="M25" s="47"/>
    </row>
    <row r="26" ht="18.75" customHeight="1">
      <c r="A26" s="127">
        <v>23.0</v>
      </c>
      <c r="B26" s="73"/>
      <c r="C26" s="87"/>
      <c r="D26" s="74"/>
      <c r="E26" s="74"/>
      <c r="F26" s="72"/>
      <c r="G26" s="76"/>
      <c r="H26" s="76"/>
      <c r="I26" s="72"/>
      <c r="J26" s="24"/>
      <c r="K26" s="24"/>
      <c r="L26" s="24"/>
      <c r="M26" s="24"/>
    </row>
    <row r="27" ht="18.75" customHeight="1">
      <c r="A27" s="127">
        <v>24.0</v>
      </c>
      <c r="B27" s="73"/>
      <c r="C27" s="87"/>
      <c r="D27" s="74"/>
      <c r="E27" s="74"/>
      <c r="F27" s="72"/>
      <c r="G27" s="76"/>
      <c r="H27" s="76"/>
      <c r="I27" s="72"/>
      <c r="J27" s="24"/>
      <c r="K27" s="24"/>
      <c r="L27" s="24"/>
      <c r="M27" s="24"/>
    </row>
    <row r="28" ht="18.75" customHeight="1">
      <c r="A28" s="127">
        <v>25.0</v>
      </c>
      <c r="B28" s="73"/>
      <c r="C28" s="87"/>
      <c r="D28" s="74"/>
      <c r="E28" s="74"/>
      <c r="F28" s="72"/>
      <c r="G28" s="76"/>
      <c r="H28" s="76"/>
      <c r="I28" s="72"/>
      <c r="J28" s="24"/>
      <c r="K28" s="24"/>
      <c r="L28" s="24"/>
      <c r="M28" s="24"/>
    </row>
    <row r="29" ht="18.75" customHeight="1">
      <c r="A29" s="127">
        <v>26.0</v>
      </c>
      <c r="B29" s="73"/>
      <c r="C29" s="87"/>
      <c r="D29" s="74"/>
      <c r="E29" s="74"/>
      <c r="F29" s="72"/>
      <c r="G29" s="76"/>
      <c r="H29" s="76"/>
      <c r="I29" s="72"/>
      <c r="J29" s="24"/>
      <c r="K29" s="24"/>
      <c r="L29" s="24"/>
      <c r="M29" s="24"/>
    </row>
    <row r="30" ht="18.75" customHeight="1">
      <c r="A30" s="127">
        <v>27.0</v>
      </c>
      <c r="B30" s="73"/>
      <c r="C30" s="87"/>
      <c r="D30" s="74"/>
      <c r="E30" s="74"/>
      <c r="F30" s="72"/>
      <c r="G30" s="76"/>
      <c r="H30" s="76"/>
      <c r="I30" s="72"/>
      <c r="J30" s="24"/>
      <c r="K30" s="24"/>
      <c r="L30" s="24"/>
      <c r="M30" s="24"/>
    </row>
    <row r="31" ht="18.75" customHeight="1">
      <c r="A31" s="72"/>
      <c r="B31" s="73"/>
      <c r="C31" s="87"/>
      <c r="D31" s="74"/>
      <c r="E31" s="74"/>
      <c r="F31" s="72"/>
      <c r="G31" s="76"/>
      <c r="H31" s="76"/>
      <c r="I31" s="72"/>
      <c r="J31" s="24"/>
      <c r="K31" s="24"/>
      <c r="L31" s="24"/>
      <c r="M31" s="24"/>
    </row>
    <row r="32" ht="18.75" customHeight="1">
      <c r="A32" s="72"/>
      <c r="B32" s="73"/>
      <c r="C32" s="87"/>
      <c r="D32" s="74"/>
      <c r="E32" s="74"/>
      <c r="F32" s="72"/>
      <c r="G32" s="76"/>
      <c r="H32" s="76"/>
      <c r="I32" s="72"/>
      <c r="J32" s="24"/>
      <c r="K32" s="24"/>
      <c r="L32" s="24"/>
      <c r="M32" s="24"/>
    </row>
    <row r="33" ht="18.75" customHeight="1">
      <c r="A33" s="72"/>
      <c r="B33" s="73"/>
      <c r="C33" s="87"/>
      <c r="D33" s="74"/>
      <c r="E33" s="74"/>
      <c r="F33" s="72"/>
      <c r="G33" s="76"/>
      <c r="H33" s="76"/>
      <c r="I33" s="72"/>
      <c r="J33" s="24"/>
      <c r="K33" s="24"/>
      <c r="L33" s="24"/>
      <c r="M33" s="24"/>
    </row>
    <row r="34" ht="18.75" customHeight="1">
      <c r="A34" s="72"/>
      <c r="B34" s="73"/>
      <c r="C34" s="87"/>
      <c r="D34" s="74"/>
      <c r="E34" s="74"/>
      <c r="F34" s="72"/>
      <c r="G34" s="76"/>
      <c r="H34" s="76"/>
      <c r="I34" s="72"/>
      <c r="J34" s="24"/>
      <c r="K34" s="24"/>
      <c r="L34" s="24"/>
      <c r="M34" s="24"/>
    </row>
    <row r="35" ht="18.75" customHeight="1">
      <c r="A35" s="72"/>
      <c r="B35" s="73"/>
      <c r="C35" s="87"/>
      <c r="D35" s="74"/>
      <c r="E35" s="74"/>
      <c r="F35" s="72"/>
      <c r="G35" s="76"/>
      <c r="H35" s="76"/>
      <c r="I35" s="72"/>
      <c r="J35" s="24"/>
      <c r="K35" s="24"/>
      <c r="L35" s="24"/>
      <c r="M35" s="24"/>
    </row>
    <row r="36" ht="18.75" customHeight="1">
      <c r="A36" s="72"/>
      <c r="B36" s="73"/>
      <c r="C36" s="87"/>
      <c r="D36" s="74"/>
      <c r="E36" s="74"/>
      <c r="F36" s="72"/>
      <c r="G36" s="76"/>
      <c r="H36" s="76"/>
      <c r="I36" s="72"/>
      <c r="J36" s="24"/>
      <c r="K36" s="24"/>
      <c r="L36" s="24"/>
      <c r="M36" s="24"/>
    </row>
    <row r="37" ht="18.75" customHeight="1">
      <c r="A37" s="72"/>
      <c r="B37" s="73"/>
      <c r="C37" s="87"/>
      <c r="D37" s="74"/>
      <c r="E37" s="74"/>
      <c r="F37" s="72"/>
      <c r="G37" s="76"/>
      <c r="H37" s="76"/>
      <c r="I37" s="72"/>
      <c r="J37" s="24"/>
      <c r="K37" s="24"/>
      <c r="L37" s="24"/>
      <c r="M37" s="24"/>
    </row>
    <row r="38" ht="18.75" customHeight="1">
      <c r="A38" s="72"/>
      <c r="B38" s="73"/>
      <c r="C38" s="87"/>
      <c r="D38" s="74"/>
      <c r="E38" s="74"/>
      <c r="F38" s="72"/>
      <c r="G38" s="76"/>
      <c r="H38" s="76"/>
      <c r="I38" s="72"/>
      <c r="J38" s="24"/>
      <c r="K38" s="24"/>
      <c r="L38" s="24"/>
      <c r="M38" s="24"/>
    </row>
    <row r="39" ht="18.75" customHeight="1">
      <c r="A39" s="72"/>
      <c r="B39" s="73"/>
      <c r="C39" s="87"/>
      <c r="D39" s="74"/>
      <c r="E39" s="74"/>
      <c r="F39" s="72"/>
      <c r="G39" s="76"/>
      <c r="H39" s="76"/>
      <c r="I39" s="72"/>
      <c r="J39" s="24"/>
      <c r="K39" s="24"/>
      <c r="L39" s="24"/>
      <c r="M39" s="24"/>
    </row>
    <row r="40" ht="18.75" customHeight="1">
      <c r="A40" s="72"/>
      <c r="B40" s="73"/>
      <c r="C40" s="87"/>
      <c r="D40" s="74"/>
      <c r="E40" s="74"/>
      <c r="F40" s="72"/>
      <c r="G40" s="76"/>
      <c r="H40" s="76"/>
      <c r="I40" s="72"/>
      <c r="J40" s="24"/>
      <c r="K40" s="24"/>
      <c r="L40" s="24"/>
      <c r="M40" s="24"/>
    </row>
    <row r="41" ht="18.75" customHeight="1">
      <c r="A41" s="72"/>
      <c r="B41" s="73"/>
      <c r="C41" s="87"/>
      <c r="D41" s="74"/>
      <c r="E41" s="74"/>
      <c r="F41" s="72"/>
      <c r="G41" s="76"/>
      <c r="H41" s="76"/>
      <c r="I41" s="72"/>
      <c r="J41" s="24"/>
      <c r="K41" s="24"/>
      <c r="L41" s="24"/>
      <c r="M41" s="24"/>
    </row>
    <row r="42" ht="18.75" customHeight="1">
      <c r="A42" s="72"/>
      <c r="B42" s="73"/>
      <c r="C42" s="87"/>
      <c r="D42" s="74"/>
      <c r="E42" s="74"/>
      <c r="F42" s="72"/>
      <c r="G42" s="76"/>
      <c r="H42" s="76"/>
      <c r="I42" s="72"/>
      <c r="J42" s="24"/>
      <c r="K42" s="24"/>
      <c r="L42" s="24"/>
      <c r="M42" s="24"/>
    </row>
    <row r="43" ht="18.75" customHeight="1">
      <c r="A43" s="72"/>
      <c r="B43" s="73"/>
      <c r="C43" s="87"/>
      <c r="D43" s="74"/>
      <c r="E43" s="74"/>
      <c r="F43" s="72"/>
      <c r="G43" s="76"/>
      <c r="H43" s="76"/>
      <c r="I43" s="72"/>
      <c r="J43" s="24"/>
      <c r="K43" s="24"/>
      <c r="L43" s="24"/>
      <c r="M43" s="24"/>
    </row>
    <row r="44" ht="18.75" customHeight="1">
      <c r="A44" s="72"/>
      <c r="B44" s="73"/>
      <c r="C44" s="87"/>
      <c r="D44" s="74"/>
      <c r="E44" s="74"/>
      <c r="F44" s="72"/>
      <c r="G44" s="76"/>
      <c r="H44" s="76"/>
      <c r="I44" s="72"/>
      <c r="J44" s="24"/>
      <c r="K44" s="24"/>
      <c r="L44" s="24"/>
      <c r="M44" s="24"/>
    </row>
    <row r="45" ht="18.75" customHeight="1">
      <c r="A45" s="72"/>
      <c r="B45" s="73"/>
      <c r="C45" s="87"/>
      <c r="D45" s="74"/>
      <c r="E45" s="74"/>
      <c r="F45" s="72"/>
      <c r="G45" s="76"/>
      <c r="H45" s="76"/>
      <c r="I45" s="72"/>
      <c r="J45" s="24"/>
      <c r="K45" s="24"/>
      <c r="L45" s="24"/>
      <c r="M45" s="24"/>
    </row>
    <row r="46" ht="18.75" customHeight="1">
      <c r="A46" s="72"/>
      <c r="B46" s="73"/>
      <c r="C46" s="87"/>
      <c r="D46" s="74"/>
      <c r="E46" s="74"/>
      <c r="F46" s="72"/>
      <c r="G46" s="76"/>
      <c r="H46" s="76"/>
      <c r="I46" s="72"/>
      <c r="J46" s="24"/>
      <c r="K46" s="24"/>
      <c r="L46" s="24"/>
      <c r="M46" s="24"/>
    </row>
    <row r="47" ht="18.75" customHeight="1">
      <c r="A47" s="72"/>
      <c r="B47" s="73"/>
      <c r="C47" s="87"/>
      <c r="D47" s="74"/>
      <c r="E47" s="74"/>
      <c r="F47" s="72"/>
      <c r="G47" s="76"/>
      <c r="H47" s="76"/>
      <c r="I47" s="72"/>
      <c r="J47" s="24"/>
      <c r="K47" s="24"/>
      <c r="L47" s="24"/>
      <c r="M47" s="24"/>
    </row>
    <row r="48" ht="18.75" customHeight="1">
      <c r="A48" s="72"/>
      <c r="B48" s="73"/>
      <c r="C48" s="87"/>
      <c r="D48" s="74"/>
      <c r="E48" s="74"/>
      <c r="F48" s="72"/>
      <c r="G48" s="76"/>
      <c r="H48" s="76"/>
      <c r="I48" s="72"/>
      <c r="J48" s="24"/>
      <c r="K48" s="24"/>
      <c r="L48" s="24"/>
      <c r="M48" s="24"/>
    </row>
    <row r="49" ht="18.75" customHeight="1">
      <c r="A49" s="72"/>
      <c r="B49" s="73"/>
      <c r="C49" s="87"/>
      <c r="D49" s="74"/>
      <c r="E49" s="74"/>
      <c r="F49" s="72"/>
      <c r="G49" s="76"/>
      <c r="H49" s="76"/>
      <c r="I49" s="72"/>
      <c r="J49" s="24"/>
      <c r="K49" s="24"/>
      <c r="L49" s="24"/>
      <c r="M49" s="24"/>
    </row>
    <row r="50" ht="18.75" customHeight="1">
      <c r="A50" s="72"/>
      <c r="B50" s="73"/>
      <c r="C50" s="87"/>
      <c r="D50" s="74"/>
      <c r="E50" s="74"/>
      <c r="F50" s="72"/>
      <c r="G50" s="76"/>
      <c r="H50" s="76"/>
      <c r="I50" s="72"/>
      <c r="J50" s="24"/>
      <c r="K50" s="24"/>
      <c r="L50" s="24"/>
      <c r="M50" s="24"/>
    </row>
    <row r="51" ht="18.75" customHeight="1">
      <c r="A51" s="72"/>
      <c r="B51" s="73"/>
      <c r="C51" s="87"/>
      <c r="D51" s="74"/>
      <c r="E51" s="74"/>
      <c r="F51" s="72"/>
      <c r="G51" s="76"/>
      <c r="H51" s="76"/>
      <c r="I51" s="72"/>
      <c r="J51" s="24"/>
      <c r="K51" s="24"/>
      <c r="L51" s="24"/>
      <c r="M51" s="24"/>
    </row>
    <row r="52" ht="18.75" customHeight="1">
      <c r="A52" s="72"/>
      <c r="B52" s="73"/>
      <c r="C52" s="87"/>
      <c r="D52" s="74"/>
      <c r="E52" s="74"/>
      <c r="F52" s="72"/>
      <c r="G52" s="76"/>
      <c r="H52" s="76"/>
      <c r="I52" s="72"/>
      <c r="J52" s="24"/>
      <c r="K52" s="24"/>
      <c r="L52" s="24"/>
      <c r="M52" s="24"/>
    </row>
    <row r="53" ht="18.75" customHeight="1">
      <c r="A53" s="72"/>
      <c r="B53" s="73"/>
      <c r="C53" s="87"/>
      <c r="D53" s="74"/>
      <c r="E53" s="74"/>
      <c r="F53" s="72"/>
      <c r="G53" s="76"/>
      <c r="H53" s="76"/>
      <c r="I53" s="72"/>
      <c r="J53" s="24"/>
      <c r="K53" s="24"/>
      <c r="L53" s="24"/>
      <c r="M53" s="24"/>
    </row>
    <row r="54" ht="18.75" customHeight="1">
      <c r="A54" s="72"/>
      <c r="B54" s="73"/>
      <c r="C54" s="87"/>
      <c r="D54" s="74"/>
      <c r="E54" s="74"/>
      <c r="F54" s="72"/>
      <c r="G54" s="76"/>
      <c r="H54" s="76"/>
      <c r="I54" s="72"/>
      <c r="J54" s="24"/>
      <c r="K54" s="24"/>
      <c r="L54" s="24"/>
      <c r="M54" s="24"/>
    </row>
    <row r="55" ht="18.75" customHeight="1">
      <c r="A55" s="72"/>
      <c r="B55" s="73"/>
      <c r="C55" s="87"/>
      <c r="D55" s="74"/>
      <c r="E55" s="74"/>
      <c r="F55" s="72"/>
      <c r="G55" s="76"/>
      <c r="H55" s="76"/>
      <c r="I55" s="72"/>
      <c r="J55" s="24"/>
      <c r="K55" s="24"/>
      <c r="L55" s="24"/>
      <c r="M55" s="24"/>
    </row>
    <row r="56" ht="18.75" customHeight="1">
      <c r="A56" s="72"/>
      <c r="B56" s="73"/>
      <c r="C56" s="87"/>
      <c r="D56" s="74"/>
      <c r="E56" s="74"/>
      <c r="F56" s="72"/>
      <c r="G56" s="76"/>
      <c r="H56" s="76"/>
      <c r="I56" s="72"/>
      <c r="J56" s="24"/>
      <c r="K56" s="24"/>
      <c r="L56" s="24"/>
      <c r="M56" s="24"/>
    </row>
    <row r="57" ht="18.75" customHeight="1">
      <c r="A57" s="72"/>
      <c r="B57" s="73"/>
      <c r="C57" s="87"/>
      <c r="D57" s="74"/>
      <c r="E57" s="74"/>
      <c r="F57" s="72"/>
      <c r="G57" s="76"/>
      <c r="H57" s="76"/>
      <c r="I57" s="72"/>
      <c r="J57" s="24"/>
      <c r="K57" s="24"/>
      <c r="L57" s="24"/>
      <c r="M57" s="24"/>
    </row>
    <row r="58" ht="18.75" customHeight="1">
      <c r="A58" s="72"/>
      <c r="B58" s="73"/>
      <c r="C58" s="87"/>
      <c r="D58" s="74"/>
      <c r="E58" s="74"/>
      <c r="F58" s="72"/>
      <c r="G58" s="76"/>
      <c r="H58" s="76"/>
      <c r="I58" s="72"/>
      <c r="J58" s="24"/>
      <c r="K58" s="24"/>
      <c r="L58" s="24"/>
      <c r="M58" s="24"/>
    </row>
    <row r="59" ht="18.75" customHeight="1">
      <c r="A59" s="72"/>
      <c r="B59" s="73"/>
      <c r="C59" s="87"/>
      <c r="D59" s="74"/>
      <c r="E59" s="74"/>
      <c r="F59" s="72"/>
      <c r="G59" s="76"/>
      <c r="H59" s="76"/>
      <c r="I59" s="72"/>
      <c r="J59" s="24"/>
      <c r="K59" s="24"/>
      <c r="L59" s="24"/>
      <c r="M59" s="24"/>
    </row>
    <row r="60" ht="18.75" customHeight="1">
      <c r="A60" s="72"/>
      <c r="B60" s="73"/>
      <c r="C60" s="87"/>
      <c r="D60" s="74"/>
      <c r="E60" s="74"/>
      <c r="F60" s="72"/>
      <c r="G60" s="76"/>
      <c r="H60" s="76"/>
      <c r="I60" s="72"/>
      <c r="J60" s="24"/>
      <c r="K60" s="24"/>
      <c r="L60" s="24"/>
      <c r="M60" s="24"/>
    </row>
    <row r="61" ht="18.75" customHeight="1">
      <c r="A61" s="72"/>
      <c r="B61" s="73"/>
      <c r="C61" s="87"/>
      <c r="D61" s="74"/>
      <c r="E61" s="74"/>
      <c r="F61" s="72"/>
      <c r="G61" s="76"/>
      <c r="H61" s="76"/>
      <c r="I61" s="72"/>
      <c r="J61" s="24"/>
      <c r="K61" s="24"/>
      <c r="L61" s="24"/>
      <c r="M61" s="24"/>
    </row>
    <row r="62" ht="18.75" customHeight="1">
      <c r="A62" s="72"/>
      <c r="B62" s="73"/>
      <c r="C62" s="87"/>
      <c r="D62" s="74"/>
      <c r="E62" s="74"/>
      <c r="F62" s="72"/>
      <c r="G62" s="76"/>
      <c r="H62" s="76"/>
      <c r="I62" s="72"/>
      <c r="J62" s="24"/>
      <c r="K62" s="24"/>
      <c r="L62" s="24"/>
      <c r="M62" s="24"/>
    </row>
    <row r="63" ht="18.75" customHeight="1">
      <c r="A63" s="72"/>
      <c r="B63" s="73"/>
      <c r="C63" s="87"/>
      <c r="D63" s="74"/>
      <c r="E63" s="74"/>
      <c r="F63" s="72"/>
      <c r="G63" s="76"/>
      <c r="H63" s="76"/>
      <c r="I63" s="72"/>
      <c r="J63" s="24"/>
      <c r="K63" s="24"/>
      <c r="L63" s="24"/>
      <c r="M63" s="24"/>
    </row>
    <row r="64" ht="18.75" customHeight="1">
      <c r="A64" s="72"/>
      <c r="B64" s="73"/>
      <c r="C64" s="87"/>
      <c r="D64" s="74"/>
      <c r="E64" s="74"/>
      <c r="F64" s="72"/>
      <c r="G64" s="76"/>
      <c r="H64" s="76"/>
      <c r="I64" s="72"/>
      <c r="J64" s="24"/>
      <c r="K64" s="24"/>
      <c r="L64" s="24"/>
      <c r="M64" s="24"/>
    </row>
    <row r="65" ht="18.75" customHeight="1">
      <c r="A65" s="72"/>
      <c r="B65" s="73"/>
      <c r="C65" s="87"/>
      <c r="D65" s="74"/>
      <c r="E65" s="74"/>
      <c r="F65" s="72"/>
      <c r="G65" s="76"/>
      <c r="H65" s="76"/>
      <c r="I65" s="72"/>
      <c r="J65" s="24"/>
      <c r="K65" s="24"/>
      <c r="L65" s="24"/>
      <c r="M65" s="24"/>
    </row>
    <row r="66" ht="18.75" customHeight="1">
      <c r="A66" s="72"/>
      <c r="B66" s="73"/>
      <c r="C66" s="87"/>
      <c r="D66" s="74"/>
      <c r="E66" s="74"/>
      <c r="F66" s="72"/>
      <c r="G66" s="76"/>
      <c r="H66" s="76"/>
      <c r="I66" s="72"/>
      <c r="J66" s="24"/>
      <c r="K66" s="24"/>
      <c r="L66" s="24"/>
      <c r="M66" s="24"/>
    </row>
    <row r="67" ht="18.75" customHeight="1">
      <c r="A67" s="72"/>
      <c r="B67" s="73"/>
      <c r="C67" s="87"/>
      <c r="D67" s="74"/>
      <c r="E67" s="74"/>
      <c r="F67" s="72"/>
      <c r="G67" s="76"/>
      <c r="H67" s="76"/>
      <c r="I67" s="72"/>
      <c r="J67" s="24"/>
      <c r="K67" s="24"/>
      <c r="L67" s="24"/>
      <c r="M67" s="24"/>
    </row>
    <row r="68" ht="18.75" customHeight="1">
      <c r="A68" s="72"/>
      <c r="B68" s="73"/>
      <c r="C68" s="87"/>
      <c r="D68" s="74"/>
      <c r="E68" s="74"/>
      <c r="F68" s="72"/>
      <c r="G68" s="76"/>
      <c r="H68" s="76"/>
      <c r="I68" s="72"/>
      <c r="J68" s="24"/>
      <c r="K68" s="24"/>
      <c r="L68" s="24"/>
      <c r="M68" s="24"/>
    </row>
    <row r="69" ht="18.75" customHeight="1">
      <c r="A69" s="72"/>
      <c r="B69" s="73"/>
      <c r="C69" s="87"/>
      <c r="D69" s="74"/>
      <c r="E69" s="74"/>
      <c r="F69" s="72"/>
      <c r="G69" s="76"/>
      <c r="H69" s="76"/>
      <c r="I69" s="72"/>
      <c r="J69" s="24"/>
      <c r="K69" s="24"/>
      <c r="L69" s="24"/>
      <c r="M69" s="24"/>
    </row>
    <row r="70" ht="18.75" customHeight="1">
      <c r="A70" s="72"/>
      <c r="B70" s="73"/>
      <c r="C70" s="87"/>
      <c r="D70" s="74"/>
      <c r="E70" s="74"/>
      <c r="F70" s="72"/>
      <c r="G70" s="76"/>
      <c r="H70" s="76"/>
      <c r="I70" s="72"/>
      <c r="J70" s="24"/>
      <c r="K70" s="24"/>
      <c r="L70" s="24"/>
      <c r="M70" s="24"/>
    </row>
    <row r="71" ht="18.75" customHeight="1">
      <c r="A71" s="72"/>
      <c r="B71" s="73"/>
      <c r="C71" s="87"/>
      <c r="D71" s="74"/>
      <c r="E71" s="74"/>
      <c r="F71" s="72"/>
      <c r="G71" s="76"/>
      <c r="H71" s="76"/>
      <c r="I71" s="72"/>
      <c r="J71" s="24"/>
      <c r="K71" s="24"/>
      <c r="L71" s="24"/>
      <c r="M71" s="24"/>
    </row>
    <row r="72" ht="18.75" customHeight="1">
      <c r="A72" s="72"/>
      <c r="B72" s="73"/>
      <c r="C72" s="87"/>
      <c r="D72" s="74"/>
      <c r="E72" s="74"/>
      <c r="F72" s="72"/>
      <c r="G72" s="76"/>
      <c r="H72" s="76"/>
      <c r="I72" s="72"/>
      <c r="J72" s="24"/>
      <c r="K72" s="24"/>
      <c r="L72" s="24"/>
      <c r="M72" s="24"/>
    </row>
    <row r="73" ht="18.75" customHeight="1">
      <c r="A73" s="72"/>
      <c r="B73" s="73"/>
      <c r="C73" s="87"/>
      <c r="D73" s="74"/>
      <c r="E73" s="74"/>
      <c r="F73" s="72"/>
      <c r="G73" s="76"/>
      <c r="H73" s="76"/>
      <c r="I73" s="72"/>
      <c r="J73" s="24"/>
      <c r="K73" s="24"/>
      <c r="L73" s="24"/>
      <c r="M73" s="24"/>
    </row>
    <row r="74" ht="18.75" customHeight="1">
      <c r="A74" s="72"/>
      <c r="B74" s="73"/>
      <c r="C74" s="87"/>
      <c r="D74" s="74"/>
      <c r="E74" s="74"/>
      <c r="F74" s="72"/>
      <c r="G74" s="76"/>
      <c r="H74" s="76"/>
      <c r="I74" s="72"/>
      <c r="J74" s="24"/>
      <c r="K74" s="24"/>
      <c r="L74" s="24"/>
      <c r="M74" s="24"/>
    </row>
    <row r="75" ht="18.75" customHeight="1">
      <c r="A75" s="72"/>
      <c r="B75" s="73"/>
      <c r="C75" s="87"/>
      <c r="D75" s="74"/>
      <c r="E75" s="74"/>
      <c r="F75" s="72"/>
      <c r="G75" s="76"/>
      <c r="H75" s="76"/>
      <c r="I75" s="72"/>
      <c r="J75" s="24"/>
      <c r="K75" s="24"/>
      <c r="L75" s="24"/>
      <c r="M75" s="24"/>
    </row>
    <row r="76" ht="18.75" customHeight="1">
      <c r="A76" s="72"/>
      <c r="B76" s="73"/>
      <c r="C76" s="87"/>
      <c r="D76" s="74"/>
      <c r="E76" s="74"/>
      <c r="F76" s="72"/>
      <c r="G76" s="76"/>
      <c r="H76" s="76"/>
      <c r="I76" s="72"/>
      <c r="J76" s="24"/>
      <c r="K76" s="24"/>
      <c r="L76" s="24"/>
      <c r="M76" s="24"/>
    </row>
    <row r="77" ht="18.75" customHeight="1">
      <c r="A77" s="72"/>
      <c r="B77" s="73"/>
      <c r="C77" s="87"/>
      <c r="D77" s="74"/>
      <c r="E77" s="74"/>
      <c r="F77" s="72"/>
      <c r="G77" s="76"/>
      <c r="H77" s="76"/>
      <c r="I77" s="72"/>
      <c r="J77" s="24"/>
      <c r="K77" s="24"/>
      <c r="L77" s="24"/>
      <c r="M77" s="24"/>
    </row>
    <row r="78" ht="18.75" customHeight="1">
      <c r="A78" s="72"/>
      <c r="B78" s="73"/>
      <c r="C78" s="87"/>
      <c r="D78" s="74"/>
      <c r="E78" s="74"/>
      <c r="F78" s="72"/>
      <c r="G78" s="76"/>
      <c r="H78" s="76"/>
      <c r="I78" s="72"/>
      <c r="J78" s="24"/>
      <c r="K78" s="24"/>
      <c r="L78" s="24"/>
      <c r="M78" s="24"/>
    </row>
    <row r="79" ht="18.75" customHeight="1">
      <c r="A79" s="72"/>
      <c r="B79" s="73"/>
      <c r="C79" s="87"/>
      <c r="D79" s="74"/>
      <c r="E79" s="74"/>
      <c r="F79" s="72"/>
      <c r="G79" s="76"/>
      <c r="H79" s="76"/>
      <c r="I79" s="72"/>
      <c r="J79" s="24"/>
      <c r="K79" s="24"/>
      <c r="L79" s="24"/>
      <c r="M79" s="24"/>
    </row>
    <row r="80" ht="18.75" customHeight="1">
      <c r="A80" s="72"/>
      <c r="B80" s="73"/>
      <c r="C80" s="87"/>
      <c r="D80" s="74"/>
      <c r="E80" s="74"/>
      <c r="F80" s="72"/>
      <c r="G80" s="76"/>
      <c r="H80" s="76"/>
      <c r="I80" s="72"/>
      <c r="J80" s="24"/>
      <c r="K80" s="24"/>
      <c r="L80" s="24"/>
      <c r="M80" s="24"/>
    </row>
    <row r="81" ht="18.75" customHeight="1">
      <c r="A81" s="72"/>
      <c r="B81" s="73"/>
      <c r="C81" s="87"/>
      <c r="D81" s="74"/>
      <c r="E81" s="74"/>
      <c r="F81" s="72"/>
      <c r="G81" s="76"/>
      <c r="H81" s="76"/>
      <c r="I81" s="72"/>
      <c r="J81" s="24"/>
      <c r="K81" s="24"/>
      <c r="L81" s="24"/>
      <c r="M81" s="24"/>
    </row>
    <row r="82" ht="18.75" customHeight="1">
      <c r="A82" s="72"/>
      <c r="B82" s="73"/>
      <c r="C82" s="87"/>
      <c r="D82" s="74"/>
      <c r="E82" s="74"/>
      <c r="F82" s="72"/>
      <c r="G82" s="76"/>
      <c r="H82" s="76"/>
      <c r="I82" s="72"/>
      <c r="J82" s="24"/>
      <c r="K82" s="24"/>
      <c r="L82" s="24"/>
      <c r="M82" s="24"/>
    </row>
    <row r="83" ht="18.75" customHeight="1">
      <c r="A83" s="72"/>
      <c r="B83" s="73"/>
      <c r="C83" s="87"/>
      <c r="D83" s="74"/>
      <c r="E83" s="74"/>
      <c r="F83" s="72"/>
      <c r="G83" s="76"/>
      <c r="H83" s="76"/>
      <c r="I83" s="72"/>
      <c r="J83" s="24"/>
      <c r="K83" s="24"/>
      <c r="L83" s="24"/>
      <c r="M83" s="24"/>
    </row>
    <row r="84" ht="18.75" customHeight="1">
      <c r="A84" s="72"/>
      <c r="B84" s="73"/>
      <c r="C84" s="87"/>
      <c r="D84" s="74"/>
      <c r="E84" s="74"/>
      <c r="F84" s="72"/>
      <c r="G84" s="76"/>
      <c r="H84" s="76"/>
      <c r="I84" s="72"/>
      <c r="J84" s="24"/>
      <c r="K84" s="24"/>
      <c r="L84" s="24"/>
      <c r="M84" s="24"/>
    </row>
    <row r="85" ht="18.75" customHeight="1">
      <c r="A85" s="72"/>
      <c r="B85" s="73"/>
      <c r="C85" s="87"/>
      <c r="D85" s="74"/>
      <c r="E85" s="74"/>
      <c r="F85" s="72"/>
      <c r="G85" s="76"/>
      <c r="H85" s="76"/>
      <c r="I85" s="72"/>
      <c r="J85" s="24"/>
      <c r="K85" s="24"/>
      <c r="L85" s="24"/>
      <c r="M85" s="24"/>
    </row>
    <row r="86" ht="18.75" customHeight="1">
      <c r="A86" s="72"/>
      <c r="B86" s="73"/>
      <c r="C86" s="87"/>
      <c r="D86" s="74"/>
      <c r="E86" s="74"/>
      <c r="F86" s="72"/>
      <c r="G86" s="76"/>
      <c r="H86" s="76"/>
      <c r="I86" s="72"/>
      <c r="J86" s="24"/>
      <c r="K86" s="24"/>
      <c r="L86" s="24"/>
      <c r="M86" s="24"/>
    </row>
    <row r="87" ht="18.75" customHeight="1">
      <c r="A87" s="72"/>
      <c r="B87" s="73"/>
      <c r="C87" s="87"/>
      <c r="D87" s="74"/>
      <c r="E87" s="74"/>
      <c r="F87" s="72"/>
      <c r="G87" s="76"/>
      <c r="H87" s="76"/>
      <c r="I87" s="72"/>
      <c r="J87" s="24"/>
      <c r="K87" s="24"/>
      <c r="L87" s="24"/>
      <c r="M87" s="24"/>
    </row>
    <row r="88" ht="18.75" customHeight="1">
      <c r="A88" s="72"/>
      <c r="B88" s="73"/>
      <c r="C88" s="87"/>
      <c r="D88" s="74"/>
      <c r="E88" s="74"/>
      <c r="F88" s="72"/>
      <c r="G88" s="76"/>
      <c r="H88" s="76"/>
      <c r="I88" s="72"/>
      <c r="J88" s="24"/>
      <c r="K88" s="24"/>
      <c r="L88" s="24"/>
      <c r="M88" s="24"/>
    </row>
    <row r="89" ht="18.75" customHeight="1">
      <c r="A89" s="72"/>
      <c r="B89" s="73"/>
      <c r="C89" s="87"/>
      <c r="D89" s="74"/>
      <c r="E89" s="74"/>
      <c r="F89" s="72"/>
      <c r="G89" s="76"/>
      <c r="H89" s="76"/>
      <c r="I89" s="72"/>
      <c r="J89" s="24"/>
      <c r="K89" s="24"/>
      <c r="L89" s="24"/>
      <c r="M89" s="24"/>
    </row>
    <row r="90" ht="18.75" customHeight="1">
      <c r="A90" s="72"/>
      <c r="B90" s="73"/>
      <c r="C90" s="87"/>
      <c r="D90" s="74"/>
      <c r="E90" s="74"/>
      <c r="F90" s="72"/>
      <c r="G90" s="76"/>
      <c r="H90" s="76"/>
      <c r="I90" s="72"/>
      <c r="J90" s="24"/>
      <c r="K90" s="24"/>
      <c r="L90" s="24"/>
      <c r="M90" s="24"/>
    </row>
    <row r="91" ht="18.75" customHeight="1">
      <c r="A91" s="72"/>
      <c r="B91" s="73"/>
      <c r="C91" s="87"/>
      <c r="D91" s="74"/>
      <c r="E91" s="74"/>
      <c r="F91" s="72"/>
      <c r="G91" s="76"/>
      <c r="H91" s="76"/>
      <c r="I91" s="72"/>
      <c r="J91" s="24"/>
      <c r="K91" s="24"/>
      <c r="L91" s="24"/>
      <c r="M91" s="24"/>
    </row>
    <row r="92" ht="18.75" customHeight="1">
      <c r="A92" s="72"/>
      <c r="B92" s="73"/>
      <c r="C92" s="87"/>
      <c r="D92" s="74"/>
      <c r="E92" s="74"/>
      <c r="F92" s="72"/>
      <c r="G92" s="76"/>
      <c r="H92" s="76"/>
      <c r="I92" s="72"/>
      <c r="J92" s="24"/>
      <c r="K92" s="24"/>
      <c r="L92" s="24"/>
      <c r="M92" s="24"/>
    </row>
    <row r="93" ht="18.75" customHeight="1">
      <c r="A93" s="72"/>
      <c r="B93" s="73"/>
      <c r="C93" s="87"/>
      <c r="D93" s="74"/>
      <c r="E93" s="74"/>
      <c r="F93" s="72"/>
      <c r="G93" s="76"/>
      <c r="H93" s="76"/>
      <c r="I93" s="72"/>
      <c r="J93" s="24"/>
      <c r="K93" s="24"/>
      <c r="L93" s="24"/>
      <c r="M93" s="24"/>
    </row>
    <row r="94" ht="18.75" customHeight="1">
      <c r="A94" s="72"/>
      <c r="B94" s="73"/>
      <c r="C94" s="87"/>
      <c r="D94" s="74"/>
      <c r="E94" s="74"/>
      <c r="F94" s="72"/>
      <c r="G94" s="76"/>
      <c r="H94" s="76"/>
      <c r="I94" s="72"/>
      <c r="J94" s="24"/>
      <c r="K94" s="24"/>
      <c r="L94" s="24"/>
      <c r="M94" s="24"/>
    </row>
    <row r="95" ht="18.75" customHeight="1">
      <c r="A95" s="72"/>
      <c r="B95" s="73"/>
      <c r="C95" s="87"/>
      <c r="D95" s="74"/>
      <c r="E95" s="74"/>
      <c r="F95" s="72"/>
      <c r="G95" s="76"/>
      <c r="H95" s="76"/>
      <c r="I95" s="72"/>
      <c r="J95" s="24"/>
      <c r="K95" s="24"/>
      <c r="L95" s="24"/>
      <c r="M95" s="24"/>
    </row>
    <row r="96" ht="18.75" customHeight="1">
      <c r="A96" s="72"/>
      <c r="B96" s="73"/>
      <c r="C96" s="87"/>
      <c r="D96" s="74"/>
      <c r="E96" s="74"/>
      <c r="F96" s="72"/>
      <c r="G96" s="76"/>
      <c r="H96" s="76"/>
      <c r="I96" s="72"/>
      <c r="J96" s="24"/>
      <c r="K96" s="24"/>
      <c r="L96" s="24"/>
      <c r="M96" s="24"/>
    </row>
    <row r="97" ht="18.75" customHeight="1">
      <c r="A97" s="72"/>
      <c r="B97" s="73"/>
      <c r="C97" s="87"/>
      <c r="D97" s="74"/>
      <c r="E97" s="74"/>
      <c r="F97" s="72"/>
      <c r="G97" s="76"/>
      <c r="H97" s="76"/>
      <c r="I97" s="72"/>
      <c r="J97" s="24"/>
      <c r="K97" s="24"/>
      <c r="L97" s="24"/>
      <c r="M97" s="24"/>
    </row>
    <row r="98" ht="18.75" customHeight="1">
      <c r="A98" s="72"/>
      <c r="B98" s="73"/>
      <c r="C98" s="87"/>
      <c r="D98" s="74"/>
      <c r="E98" s="74"/>
      <c r="F98" s="72"/>
      <c r="G98" s="76"/>
      <c r="H98" s="76"/>
      <c r="I98" s="72"/>
      <c r="J98" s="24"/>
      <c r="K98" s="24"/>
      <c r="L98" s="24"/>
      <c r="M98" s="24"/>
    </row>
    <row r="99" ht="18.75" customHeight="1">
      <c r="A99" s="72"/>
      <c r="B99" s="73"/>
      <c r="C99" s="87"/>
      <c r="D99" s="74"/>
      <c r="E99" s="74"/>
      <c r="F99" s="72"/>
      <c r="G99" s="76"/>
      <c r="H99" s="76"/>
      <c r="I99" s="72"/>
      <c r="J99" s="24"/>
      <c r="K99" s="24"/>
      <c r="L99" s="24"/>
      <c r="M99" s="24"/>
    </row>
    <row r="100" ht="18.75" customHeight="1">
      <c r="A100" s="72"/>
      <c r="B100" s="73"/>
      <c r="C100" s="87"/>
      <c r="D100" s="74"/>
      <c r="E100" s="74"/>
      <c r="F100" s="72"/>
      <c r="G100" s="76"/>
      <c r="H100" s="76"/>
      <c r="I100" s="72"/>
      <c r="J100" s="24"/>
      <c r="K100" s="24"/>
      <c r="L100" s="24"/>
      <c r="M100" s="24"/>
    </row>
    <row r="101" ht="18.75" customHeight="1">
      <c r="A101" s="72"/>
      <c r="B101" s="73"/>
      <c r="C101" s="87"/>
      <c r="D101" s="74"/>
      <c r="E101" s="74"/>
      <c r="F101" s="72"/>
      <c r="G101" s="76"/>
      <c r="H101" s="76"/>
      <c r="I101" s="72"/>
      <c r="J101" s="24"/>
      <c r="K101" s="24"/>
      <c r="L101" s="24"/>
      <c r="M101" s="24"/>
    </row>
    <row r="102" ht="18.75" customHeight="1">
      <c r="A102" s="72"/>
      <c r="B102" s="73"/>
      <c r="C102" s="87"/>
      <c r="D102" s="74"/>
      <c r="E102" s="74"/>
      <c r="F102" s="72"/>
      <c r="G102" s="76"/>
      <c r="H102" s="76"/>
      <c r="I102" s="72"/>
      <c r="J102" s="24"/>
      <c r="K102" s="24"/>
      <c r="L102" s="24"/>
      <c r="M102" s="24"/>
    </row>
    <row r="103" ht="18.75" customHeight="1">
      <c r="A103" s="72"/>
      <c r="B103" s="73"/>
      <c r="C103" s="87"/>
      <c r="D103" s="74"/>
      <c r="E103" s="74"/>
      <c r="F103" s="72"/>
      <c r="G103" s="76"/>
      <c r="H103" s="76"/>
      <c r="I103" s="72"/>
      <c r="J103" s="24"/>
      <c r="K103" s="24"/>
      <c r="L103" s="24"/>
      <c r="M103" s="24"/>
    </row>
    <row r="104" ht="18.75" customHeight="1">
      <c r="A104" s="72"/>
      <c r="B104" s="73"/>
      <c r="C104" s="87"/>
      <c r="D104" s="74"/>
      <c r="E104" s="74"/>
      <c r="F104" s="72"/>
      <c r="G104" s="76"/>
      <c r="H104" s="76"/>
      <c r="I104" s="72"/>
      <c r="J104" s="24"/>
      <c r="K104" s="24"/>
      <c r="L104" s="24"/>
      <c r="M104" s="24"/>
    </row>
    <row r="105" ht="18.75" customHeight="1">
      <c r="A105" s="72"/>
      <c r="B105" s="73"/>
      <c r="C105" s="87"/>
      <c r="D105" s="74"/>
      <c r="E105" s="74"/>
      <c r="F105" s="72"/>
      <c r="G105" s="76"/>
      <c r="H105" s="76"/>
      <c r="I105" s="72"/>
      <c r="J105" s="24"/>
      <c r="K105" s="24"/>
      <c r="L105" s="24"/>
      <c r="M105" s="24"/>
    </row>
    <row r="106" ht="18.75" customHeight="1">
      <c r="A106" s="72"/>
      <c r="B106" s="73"/>
      <c r="C106" s="87"/>
      <c r="D106" s="74"/>
      <c r="E106" s="74"/>
      <c r="F106" s="72"/>
      <c r="G106" s="76"/>
      <c r="H106" s="76"/>
      <c r="I106" s="72"/>
      <c r="J106" s="24"/>
      <c r="K106" s="24"/>
      <c r="L106" s="24"/>
      <c r="M106" s="24"/>
    </row>
    <row r="107" ht="18.75" customHeight="1">
      <c r="A107" s="72"/>
      <c r="B107" s="73"/>
      <c r="C107" s="87"/>
      <c r="D107" s="74"/>
      <c r="E107" s="74"/>
      <c r="F107" s="72"/>
      <c r="G107" s="76"/>
      <c r="H107" s="76"/>
      <c r="I107" s="72"/>
      <c r="J107" s="24"/>
      <c r="K107" s="24"/>
      <c r="L107" s="24"/>
      <c r="M107" s="24"/>
    </row>
    <row r="108" ht="18.75" customHeight="1">
      <c r="A108" s="72"/>
      <c r="B108" s="73"/>
      <c r="C108" s="87"/>
      <c r="D108" s="74"/>
      <c r="E108" s="74"/>
      <c r="F108" s="72"/>
      <c r="G108" s="76"/>
      <c r="H108" s="76"/>
      <c r="I108" s="72"/>
      <c r="J108" s="24"/>
      <c r="K108" s="24"/>
      <c r="L108" s="24"/>
      <c r="M108" s="24"/>
    </row>
    <row r="109" ht="18.75" customHeight="1">
      <c r="A109" s="72"/>
      <c r="B109" s="73"/>
      <c r="C109" s="87"/>
      <c r="D109" s="74"/>
      <c r="E109" s="74"/>
      <c r="F109" s="72"/>
      <c r="G109" s="76"/>
      <c r="H109" s="76"/>
      <c r="I109" s="72"/>
      <c r="J109" s="24"/>
      <c r="K109" s="24"/>
      <c r="L109" s="24"/>
      <c r="M109" s="24"/>
    </row>
    <row r="110" ht="18.75" customHeight="1">
      <c r="A110" s="72"/>
      <c r="B110" s="73"/>
      <c r="C110" s="87"/>
      <c r="D110" s="74"/>
      <c r="E110" s="74"/>
      <c r="F110" s="72"/>
      <c r="G110" s="76"/>
      <c r="H110" s="76"/>
      <c r="I110" s="72"/>
      <c r="J110" s="24"/>
      <c r="K110" s="24"/>
      <c r="L110" s="24"/>
      <c r="M110" s="24"/>
    </row>
    <row r="111" ht="18.75" customHeight="1">
      <c r="A111" s="72"/>
      <c r="B111" s="73"/>
      <c r="C111" s="87"/>
      <c r="D111" s="74"/>
      <c r="E111" s="74"/>
      <c r="F111" s="72"/>
      <c r="G111" s="76"/>
      <c r="H111" s="76"/>
      <c r="I111" s="72"/>
      <c r="J111" s="24"/>
      <c r="K111" s="24"/>
      <c r="L111" s="24"/>
      <c r="M111" s="24"/>
    </row>
    <row r="112" ht="18.75" customHeight="1">
      <c r="A112" s="72"/>
      <c r="B112" s="73"/>
      <c r="C112" s="87"/>
      <c r="D112" s="74"/>
      <c r="E112" s="74"/>
      <c r="F112" s="72"/>
      <c r="G112" s="76"/>
      <c r="H112" s="76"/>
      <c r="I112" s="72"/>
      <c r="J112" s="24"/>
      <c r="K112" s="24"/>
      <c r="L112" s="24"/>
      <c r="M112" s="24"/>
    </row>
    <row r="113" ht="18.75" customHeight="1">
      <c r="A113" s="72"/>
      <c r="B113" s="73"/>
      <c r="C113" s="87"/>
      <c r="D113" s="74"/>
      <c r="E113" s="74"/>
      <c r="F113" s="72"/>
      <c r="G113" s="76"/>
      <c r="H113" s="76"/>
      <c r="I113" s="72"/>
      <c r="J113" s="24"/>
      <c r="K113" s="24"/>
      <c r="L113" s="24"/>
      <c r="M113" s="24"/>
    </row>
    <row r="114" ht="18.75" customHeight="1">
      <c r="A114" s="72"/>
      <c r="B114" s="73"/>
      <c r="C114" s="87"/>
      <c r="D114" s="74"/>
      <c r="E114" s="74"/>
      <c r="F114" s="72"/>
      <c r="G114" s="76"/>
      <c r="H114" s="76"/>
      <c r="I114" s="72"/>
      <c r="J114" s="24"/>
      <c r="K114" s="24"/>
      <c r="L114" s="24"/>
      <c r="M114" s="24"/>
    </row>
    <row r="115" ht="18.75" customHeight="1">
      <c r="A115" s="72"/>
      <c r="B115" s="73"/>
      <c r="C115" s="87"/>
      <c r="D115" s="74"/>
      <c r="E115" s="74"/>
      <c r="F115" s="72"/>
      <c r="G115" s="76"/>
      <c r="H115" s="76"/>
      <c r="I115" s="72"/>
      <c r="J115" s="24"/>
      <c r="K115" s="24"/>
      <c r="L115" s="24"/>
      <c r="M115" s="24"/>
    </row>
    <row r="116" ht="18.75" customHeight="1">
      <c r="A116" s="72"/>
      <c r="B116" s="73"/>
      <c r="C116" s="87"/>
      <c r="D116" s="74"/>
      <c r="E116" s="74"/>
      <c r="F116" s="72"/>
      <c r="G116" s="76"/>
      <c r="H116" s="76"/>
      <c r="I116" s="72"/>
      <c r="J116" s="24"/>
      <c r="K116" s="24"/>
      <c r="L116" s="24"/>
      <c r="M116" s="24"/>
    </row>
    <row r="117" ht="18.75" customHeight="1">
      <c r="A117" s="72"/>
      <c r="B117" s="73"/>
      <c r="C117" s="87"/>
      <c r="D117" s="74"/>
      <c r="E117" s="74"/>
      <c r="F117" s="72"/>
      <c r="G117" s="76"/>
      <c r="H117" s="76"/>
      <c r="I117" s="72"/>
      <c r="J117" s="24"/>
      <c r="K117" s="24"/>
      <c r="L117" s="24"/>
      <c r="M117" s="24"/>
    </row>
    <row r="118" ht="18.75" customHeight="1">
      <c r="A118" s="72"/>
      <c r="B118" s="73"/>
      <c r="C118" s="87"/>
      <c r="D118" s="74"/>
      <c r="E118" s="74"/>
      <c r="F118" s="72"/>
      <c r="G118" s="76"/>
      <c r="H118" s="76"/>
      <c r="I118" s="72"/>
      <c r="J118" s="24"/>
      <c r="K118" s="24"/>
      <c r="L118" s="24"/>
      <c r="M118" s="24"/>
    </row>
    <row r="119" ht="18.75" customHeight="1">
      <c r="A119" s="72"/>
      <c r="B119" s="73"/>
      <c r="C119" s="87"/>
      <c r="D119" s="74"/>
      <c r="E119" s="74"/>
      <c r="F119" s="72"/>
      <c r="G119" s="76"/>
      <c r="H119" s="76"/>
      <c r="I119" s="72"/>
      <c r="J119" s="24"/>
      <c r="K119" s="24"/>
      <c r="L119" s="24"/>
      <c r="M119" s="24"/>
    </row>
    <row r="120" ht="18.75" customHeight="1">
      <c r="A120" s="72"/>
      <c r="B120" s="73"/>
      <c r="C120" s="87"/>
      <c r="D120" s="74"/>
      <c r="E120" s="74"/>
      <c r="F120" s="72"/>
      <c r="G120" s="76"/>
      <c r="H120" s="76"/>
      <c r="I120" s="72"/>
      <c r="J120" s="24"/>
      <c r="K120" s="24"/>
      <c r="L120" s="24"/>
      <c r="M120" s="24"/>
    </row>
    <row r="121" ht="18.75" customHeight="1">
      <c r="A121" s="72"/>
      <c r="B121" s="73"/>
      <c r="C121" s="87"/>
      <c r="D121" s="74"/>
      <c r="E121" s="74"/>
      <c r="F121" s="72"/>
      <c r="G121" s="76"/>
      <c r="H121" s="76"/>
      <c r="I121" s="72"/>
      <c r="J121" s="24"/>
      <c r="K121" s="24"/>
      <c r="L121" s="24"/>
      <c r="M121" s="24"/>
    </row>
    <row r="122" ht="18.75" customHeight="1">
      <c r="A122" s="72"/>
      <c r="B122" s="73"/>
      <c r="C122" s="87"/>
      <c r="D122" s="74"/>
      <c r="E122" s="74"/>
      <c r="F122" s="72"/>
      <c r="G122" s="76"/>
      <c r="H122" s="76"/>
      <c r="I122" s="72"/>
      <c r="J122" s="24"/>
      <c r="K122" s="24"/>
      <c r="L122" s="24"/>
      <c r="M122" s="24"/>
    </row>
    <row r="123" ht="18.75" customHeight="1">
      <c r="A123" s="72"/>
      <c r="B123" s="73"/>
      <c r="C123" s="87"/>
      <c r="D123" s="74"/>
      <c r="E123" s="74"/>
      <c r="F123" s="72"/>
      <c r="G123" s="76"/>
      <c r="H123" s="76"/>
      <c r="I123" s="72"/>
      <c r="J123" s="24"/>
      <c r="K123" s="24"/>
      <c r="L123" s="24"/>
      <c r="M123" s="24"/>
    </row>
    <row r="124" ht="18.75" customHeight="1">
      <c r="A124" s="72"/>
      <c r="B124" s="73"/>
      <c r="C124" s="87"/>
      <c r="D124" s="74"/>
      <c r="E124" s="74"/>
      <c r="F124" s="72"/>
      <c r="G124" s="76"/>
      <c r="H124" s="76"/>
      <c r="I124" s="72"/>
      <c r="J124" s="24"/>
      <c r="K124" s="24"/>
      <c r="L124" s="24"/>
      <c r="M124" s="24"/>
    </row>
    <row r="125" ht="18.75" customHeight="1">
      <c r="A125" s="72"/>
      <c r="B125" s="73"/>
      <c r="C125" s="87"/>
      <c r="D125" s="74"/>
      <c r="E125" s="74"/>
      <c r="F125" s="72"/>
      <c r="G125" s="76"/>
      <c r="H125" s="76"/>
      <c r="I125" s="72"/>
      <c r="J125" s="24"/>
      <c r="K125" s="24"/>
      <c r="L125" s="24"/>
      <c r="M125" s="24"/>
    </row>
    <row r="126" ht="18.75" customHeight="1">
      <c r="A126" s="72"/>
      <c r="B126" s="73"/>
      <c r="C126" s="87"/>
      <c r="D126" s="74"/>
      <c r="E126" s="74"/>
      <c r="F126" s="72"/>
      <c r="G126" s="76"/>
      <c r="H126" s="76"/>
      <c r="I126" s="72"/>
      <c r="J126" s="24"/>
      <c r="K126" s="24"/>
      <c r="L126" s="24"/>
      <c r="M126" s="24"/>
    </row>
    <row r="127" ht="18.75" customHeight="1">
      <c r="A127" s="72"/>
      <c r="B127" s="73"/>
      <c r="C127" s="87"/>
      <c r="D127" s="74"/>
      <c r="E127" s="74"/>
      <c r="F127" s="72"/>
      <c r="G127" s="76"/>
      <c r="H127" s="76"/>
      <c r="I127" s="72"/>
      <c r="J127" s="24"/>
      <c r="K127" s="24"/>
      <c r="L127" s="24"/>
      <c r="M127" s="24"/>
    </row>
    <row r="128" ht="18.75" customHeight="1">
      <c r="A128" s="72"/>
      <c r="B128" s="73"/>
      <c r="C128" s="87"/>
      <c r="D128" s="74"/>
      <c r="E128" s="74"/>
      <c r="F128" s="72"/>
      <c r="G128" s="76"/>
      <c r="H128" s="76"/>
      <c r="I128" s="72"/>
      <c r="J128" s="24"/>
      <c r="K128" s="24"/>
      <c r="L128" s="24"/>
      <c r="M128" s="24"/>
    </row>
    <row r="129" ht="18.75" customHeight="1">
      <c r="A129" s="72"/>
      <c r="B129" s="73"/>
      <c r="C129" s="87"/>
      <c r="D129" s="74"/>
      <c r="E129" s="74"/>
      <c r="F129" s="72"/>
      <c r="G129" s="76"/>
      <c r="H129" s="76"/>
      <c r="I129" s="72"/>
      <c r="J129" s="24"/>
      <c r="K129" s="24"/>
      <c r="L129" s="24"/>
      <c r="M129" s="24"/>
    </row>
    <row r="130" ht="18.75" customHeight="1">
      <c r="A130" s="72"/>
      <c r="B130" s="73"/>
      <c r="C130" s="87"/>
      <c r="D130" s="74"/>
      <c r="E130" s="74"/>
      <c r="F130" s="72"/>
      <c r="G130" s="76"/>
      <c r="H130" s="76"/>
      <c r="I130" s="72"/>
      <c r="J130" s="24"/>
      <c r="K130" s="24"/>
      <c r="L130" s="24"/>
      <c r="M130" s="24"/>
    </row>
    <row r="131" ht="18.75" customHeight="1">
      <c r="A131" s="72"/>
      <c r="B131" s="73"/>
      <c r="C131" s="87"/>
      <c r="D131" s="74"/>
      <c r="E131" s="74"/>
      <c r="F131" s="72"/>
      <c r="G131" s="76"/>
      <c r="H131" s="76"/>
      <c r="I131" s="72"/>
      <c r="J131" s="24"/>
      <c r="K131" s="24"/>
      <c r="L131" s="24"/>
      <c r="M131" s="24"/>
    </row>
    <row r="132" ht="18.75" customHeight="1">
      <c r="A132" s="72"/>
      <c r="B132" s="73"/>
      <c r="C132" s="87"/>
      <c r="D132" s="74"/>
      <c r="E132" s="74"/>
      <c r="F132" s="72"/>
      <c r="G132" s="76"/>
      <c r="H132" s="76"/>
      <c r="I132" s="72"/>
      <c r="J132" s="24"/>
      <c r="K132" s="24"/>
      <c r="L132" s="24"/>
      <c r="M132" s="24"/>
    </row>
    <row r="133" ht="18.75" customHeight="1">
      <c r="A133" s="72"/>
      <c r="B133" s="73"/>
      <c r="C133" s="87"/>
      <c r="D133" s="74"/>
      <c r="E133" s="74"/>
      <c r="F133" s="72"/>
      <c r="G133" s="76"/>
      <c r="H133" s="76"/>
      <c r="I133" s="72"/>
      <c r="J133" s="24"/>
      <c r="K133" s="24"/>
      <c r="L133" s="24"/>
      <c r="M133" s="24"/>
    </row>
    <row r="134" ht="18.75" customHeight="1">
      <c r="A134" s="72"/>
      <c r="B134" s="73"/>
      <c r="C134" s="87"/>
      <c r="D134" s="74"/>
      <c r="E134" s="74"/>
      <c r="F134" s="72"/>
      <c r="G134" s="76"/>
      <c r="H134" s="76"/>
      <c r="I134" s="72"/>
      <c r="J134" s="24"/>
      <c r="K134" s="24"/>
      <c r="L134" s="24"/>
      <c r="M134" s="24"/>
    </row>
    <row r="135" ht="18.75" customHeight="1">
      <c r="A135" s="72"/>
      <c r="B135" s="73"/>
      <c r="C135" s="87"/>
      <c r="D135" s="74"/>
      <c r="E135" s="74"/>
      <c r="F135" s="72"/>
      <c r="G135" s="76"/>
      <c r="H135" s="76"/>
      <c r="I135" s="72"/>
      <c r="J135" s="24"/>
      <c r="K135" s="24"/>
      <c r="L135" s="24"/>
      <c r="M135" s="24"/>
    </row>
    <row r="136" ht="18.75" customHeight="1">
      <c r="A136" s="72"/>
      <c r="B136" s="73"/>
      <c r="C136" s="87"/>
      <c r="D136" s="74"/>
      <c r="E136" s="74"/>
      <c r="F136" s="72"/>
      <c r="G136" s="76"/>
      <c r="H136" s="76"/>
      <c r="I136" s="72"/>
      <c r="J136" s="24"/>
      <c r="K136" s="24"/>
      <c r="L136" s="24"/>
      <c r="M136" s="24"/>
    </row>
    <row r="137" ht="18.75" customHeight="1">
      <c r="A137" s="72"/>
      <c r="B137" s="73"/>
      <c r="C137" s="87"/>
      <c r="D137" s="74"/>
      <c r="E137" s="74"/>
      <c r="F137" s="72"/>
      <c r="G137" s="76"/>
      <c r="H137" s="76"/>
      <c r="I137" s="72"/>
      <c r="J137" s="24"/>
      <c r="K137" s="24"/>
      <c r="L137" s="24"/>
      <c r="M137" s="24"/>
    </row>
    <row r="138" ht="18.75" customHeight="1">
      <c r="A138" s="72"/>
      <c r="B138" s="73"/>
      <c r="C138" s="87"/>
      <c r="D138" s="74"/>
      <c r="E138" s="74"/>
      <c r="F138" s="72"/>
      <c r="G138" s="76"/>
      <c r="H138" s="76"/>
      <c r="I138" s="72"/>
      <c r="J138" s="24"/>
      <c r="K138" s="24"/>
      <c r="L138" s="24"/>
      <c r="M138" s="24"/>
    </row>
    <row r="139" ht="18.75" customHeight="1">
      <c r="A139" s="72"/>
      <c r="B139" s="73"/>
      <c r="C139" s="87"/>
      <c r="D139" s="74"/>
      <c r="E139" s="74"/>
      <c r="F139" s="72"/>
      <c r="G139" s="76"/>
      <c r="H139" s="76"/>
      <c r="I139" s="72"/>
      <c r="J139" s="24"/>
      <c r="K139" s="24"/>
      <c r="L139" s="24"/>
      <c r="M139" s="24"/>
    </row>
    <row r="140" ht="18.75" customHeight="1">
      <c r="A140" s="72"/>
      <c r="B140" s="73"/>
      <c r="C140" s="87"/>
      <c r="D140" s="74"/>
      <c r="E140" s="74"/>
      <c r="F140" s="72"/>
      <c r="G140" s="76"/>
      <c r="H140" s="76"/>
      <c r="I140" s="72"/>
      <c r="J140" s="24"/>
      <c r="K140" s="24"/>
      <c r="L140" s="24"/>
      <c r="M140" s="24"/>
    </row>
    <row r="141" ht="18.75" customHeight="1">
      <c r="A141" s="72"/>
      <c r="B141" s="73"/>
      <c r="C141" s="87"/>
      <c r="D141" s="74"/>
      <c r="E141" s="74"/>
      <c r="F141" s="72"/>
      <c r="G141" s="76"/>
      <c r="H141" s="76"/>
      <c r="I141" s="72"/>
      <c r="J141" s="24"/>
      <c r="K141" s="24"/>
      <c r="L141" s="24"/>
      <c r="M141" s="24"/>
    </row>
    <row r="142" ht="18.75" customHeight="1">
      <c r="A142" s="72"/>
      <c r="B142" s="73"/>
      <c r="C142" s="87"/>
      <c r="D142" s="74"/>
      <c r="E142" s="74"/>
      <c r="F142" s="72"/>
      <c r="G142" s="76"/>
      <c r="H142" s="76"/>
      <c r="I142" s="72"/>
      <c r="J142" s="24"/>
      <c r="K142" s="24"/>
      <c r="L142" s="24"/>
      <c r="M142" s="24"/>
    </row>
    <row r="143" ht="18.75" customHeight="1">
      <c r="A143" s="72"/>
      <c r="B143" s="73"/>
      <c r="C143" s="87"/>
      <c r="D143" s="74"/>
      <c r="E143" s="74"/>
      <c r="F143" s="72"/>
      <c r="G143" s="76"/>
      <c r="H143" s="76"/>
      <c r="I143" s="72"/>
      <c r="J143" s="24"/>
      <c r="K143" s="24"/>
      <c r="L143" s="24"/>
      <c r="M143" s="24"/>
    </row>
    <row r="144" ht="18.75" customHeight="1">
      <c r="A144" s="72"/>
      <c r="B144" s="73"/>
      <c r="C144" s="87"/>
      <c r="D144" s="74"/>
      <c r="E144" s="74"/>
      <c r="F144" s="72"/>
      <c r="G144" s="76"/>
      <c r="H144" s="76"/>
      <c r="I144" s="72"/>
      <c r="J144" s="24"/>
      <c r="K144" s="24"/>
      <c r="L144" s="24"/>
      <c r="M144" s="24"/>
    </row>
    <row r="145" ht="18.75" customHeight="1">
      <c r="A145" s="72"/>
      <c r="B145" s="73"/>
      <c r="C145" s="87"/>
      <c r="D145" s="74"/>
      <c r="E145" s="74"/>
      <c r="F145" s="72"/>
      <c r="G145" s="76"/>
      <c r="H145" s="76"/>
      <c r="I145" s="72"/>
      <c r="J145" s="24"/>
      <c r="K145" s="24"/>
      <c r="L145" s="24"/>
      <c r="M145" s="24"/>
    </row>
    <row r="146" ht="18.75" customHeight="1">
      <c r="A146" s="72"/>
      <c r="B146" s="73"/>
      <c r="C146" s="87"/>
      <c r="D146" s="74"/>
      <c r="E146" s="74"/>
      <c r="F146" s="72"/>
      <c r="G146" s="76"/>
      <c r="H146" s="76"/>
      <c r="I146" s="72"/>
      <c r="J146" s="24"/>
      <c r="K146" s="24"/>
      <c r="L146" s="24"/>
      <c r="M146" s="24"/>
    </row>
    <row r="147" ht="18.75" customHeight="1">
      <c r="A147" s="72"/>
      <c r="B147" s="73"/>
      <c r="C147" s="87"/>
      <c r="D147" s="74"/>
      <c r="E147" s="74"/>
      <c r="F147" s="72"/>
      <c r="G147" s="76"/>
      <c r="H147" s="76"/>
      <c r="I147" s="72"/>
      <c r="J147" s="24"/>
      <c r="K147" s="24"/>
      <c r="L147" s="24"/>
      <c r="M147" s="24"/>
    </row>
    <row r="148" ht="18.75" customHeight="1">
      <c r="A148" s="72"/>
      <c r="B148" s="73"/>
      <c r="C148" s="87"/>
      <c r="D148" s="74"/>
      <c r="E148" s="74"/>
      <c r="F148" s="72"/>
      <c r="G148" s="76"/>
      <c r="H148" s="76"/>
      <c r="I148" s="72"/>
      <c r="J148" s="24"/>
      <c r="K148" s="24"/>
      <c r="L148" s="24"/>
      <c r="M148" s="24"/>
    </row>
    <row r="149" ht="18.75" customHeight="1">
      <c r="A149" s="72"/>
      <c r="B149" s="73"/>
      <c r="C149" s="87"/>
      <c r="D149" s="74"/>
      <c r="E149" s="74"/>
      <c r="F149" s="72"/>
      <c r="G149" s="76"/>
      <c r="H149" s="76"/>
      <c r="I149" s="72"/>
      <c r="J149" s="24"/>
      <c r="K149" s="24"/>
      <c r="L149" s="24"/>
      <c r="M149" s="24"/>
    </row>
    <row r="150" ht="18.75" customHeight="1">
      <c r="A150" s="72"/>
      <c r="B150" s="73"/>
      <c r="C150" s="87"/>
      <c r="D150" s="74"/>
      <c r="E150" s="74"/>
      <c r="F150" s="72"/>
      <c r="G150" s="76"/>
      <c r="H150" s="76"/>
      <c r="I150" s="72"/>
      <c r="J150" s="24"/>
      <c r="K150" s="24"/>
      <c r="L150" s="24"/>
      <c r="M150" s="24"/>
    </row>
    <row r="151" ht="18.75" customHeight="1">
      <c r="A151" s="72"/>
      <c r="B151" s="73"/>
      <c r="C151" s="87"/>
      <c r="D151" s="74"/>
      <c r="E151" s="74"/>
      <c r="F151" s="72"/>
      <c r="G151" s="76"/>
      <c r="H151" s="76"/>
      <c r="I151" s="72"/>
      <c r="J151" s="24"/>
      <c r="K151" s="24"/>
      <c r="L151" s="24"/>
      <c r="M151" s="24"/>
    </row>
    <row r="152" ht="18.75" customHeight="1">
      <c r="A152" s="72"/>
      <c r="B152" s="73"/>
      <c r="C152" s="87"/>
      <c r="D152" s="74"/>
      <c r="E152" s="74"/>
      <c r="F152" s="72"/>
      <c r="G152" s="76"/>
      <c r="H152" s="76"/>
      <c r="I152" s="72"/>
      <c r="J152" s="24"/>
      <c r="K152" s="24"/>
      <c r="L152" s="24"/>
      <c r="M152" s="24"/>
    </row>
    <row r="153" ht="18.75" customHeight="1">
      <c r="A153" s="72"/>
      <c r="B153" s="73"/>
      <c r="C153" s="87"/>
      <c r="D153" s="74"/>
      <c r="E153" s="74"/>
      <c r="F153" s="72"/>
      <c r="G153" s="76"/>
      <c r="H153" s="76"/>
      <c r="I153" s="72"/>
      <c r="J153" s="24"/>
      <c r="K153" s="24"/>
      <c r="L153" s="24"/>
      <c r="M153" s="24"/>
    </row>
    <row r="154" ht="18.75" customHeight="1">
      <c r="A154" s="72"/>
      <c r="B154" s="73"/>
      <c r="C154" s="87"/>
      <c r="D154" s="74"/>
      <c r="E154" s="74"/>
      <c r="F154" s="72"/>
      <c r="G154" s="76"/>
      <c r="H154" s="76"/>
      <c r="I154" s="72"/>
      <c r="J154" s="24"/>
      <c r="K154" s="24"/>
      <c r="L154" s="24"/>
      <c r="M154" s="24"/>
    </row>
    <row r="155" ht="18.75" customHeight="1">
      <c r="A155" s="72"/>
      <c r="B155" s="73"/>
      <c r="C155" s="87"/>
      <c r="D155" s="74"/>
      <c r="E155" s="74"/>
      <c r="F155" s="72"/>
      <c r="G155" s="76"/>
      <c r="H155" s="76"/>
      <c r="I155" s="72"/>
      <c r="J155" s="24"/>
      <c r="K155" s="24"/>
      <c r="L155" s="24"/>
      <c r="M155" s="24"/>
    </row>
    <row r="156" ht="18.75" customHeight="1">
      <c r="A156" s="72"/>
      <c r="B156" s="73"/>
      <c r="C156" s="87"/>
      <c r="D156" s="74"/>
      <c r="E156" s="74"/>
      <c r="F156" s="72"/>
      <c r="G156" s="76"/>
      <c r="H156" s="76"/>
      <c r="I156" s="72"/>
      <c r="J156" s="24"/>
      <c r="K156" s="24"/>
      <c r="L156" s="24"/>
      <c r="M156" s="24"/>
    </row>
    <row r="157" ht="18.75" customHeight="1">
      <c r="A157" s="72"/>
      <c r="B157" s="73"/>
      <c r="C157" s="87"/>
      <c r="D157" s="74"/>
      <c r="E157" s="74"/>
      <c r="F157" s="72"/>
      <c r="G157" s="76"/>
      <c r="H157" s="76"/>
      <c r="I157" s="72"/>
      <c r="J157" s="24"/>
      <c r="K157" s="24"/>
      <c r="L157" s="24"/>
      <c r="M157" s="24"/>
    </row>
    <row r="158" ht="18.75" customHeight="1">
      <c r="A158" s="72"/>
      <c r="B158" s="73"/>
      <c r="C158" s="87"/>
      <c r="D158" s="74"/>
      <c r="E158" s="74"/>
      <c r="F158" s="72"/>
      <c r="G158" s="76"/>
      <c r="H158" s="76"/>
      <c r="I158" s="72"/>
      <c r="J158" s="24"/>
      <c r="K158" s="24"/>
      <c r="L158" s="24"/>
      <c r="M158" s="24"/>
    </row>
    <row r="159" ht="18.75" customHeight="1">
      <c r="A159" s="72"/>
      <c r="B159" s="73"/>
      <c r="C159" s="87"/>
      <c r="D159" s="74"/>
      <c r="E159" s="74"/>
      <c r="F159" s="72"/>
      <c r="G159" s="76"/>
      <c r="H159" s="76"/>
      <c r="I159" s="72"/>
      <c r="J159" s="24"/>
      <c r="K159" s="24"/>
      <c r="L159" s="24"/>
      <c r="M159" s="24"/>
    </row>
    <row r="160" ht="18.75" customHeight="1">
      <c r="A160" s="72"/>
      <c r="B160" s="73"/>
      <c r="C160" s="87"/>
      <c r="D160" s="74"/>
      <c r="E160" s="74"/>
      <c r="F160" s="72"/>
      <c r="G160" s="76"/>
      <c r="H160" s="76"/>
      <c r="I160" s="72"/>
      <c r="J160" s="24"/>
      <c r="K160" s="24"/>
      <c r="L160" s="24"/>
      <c r="M160" s="24"/>
    </row>
    <row r="161" ht="18.75" customHeight="1">
      <c r="A161" s="72"/>
      <c r="B161" s="73"/>
      <c r="C161" s="87"/>
      <c r="D161" s="74"/>
      <c r="E161" s="74"/>
      <c r="F161" s="72"/>
      <c r="G161" s="76"/>
      <c r="H161" s="76"/>
      <c r="I161" s="72"/>
      <c r="J161" s="24"/>
      <c r="K161" s="24"/>
      <c r="L161" s="24"/>
      <c r="M161" s="24"/>
    </row>
    <row r="162" ht="18.75" customHeight="1">
      <c r="A162" s="72"/>
      <c r="B162" s="73"/>
      <c r="C162" s="87"/>
      <c r="D162" s="74"/>
      <c r="E162" s="74"/>
      <c r="F162" s="72"/>
      <c r="G162" s="76"/>
      <c r="H162" s="76"/>
      <c r="I162" s="72"/>
      <c r="J162" s="24"/>
      <c r="K162" s="24"/>
      <c r="L162" s="24"/>
      <c r="M162" s="24"/>
    </row>
    <row r="163" ht="18.75" customHeight="1">
      <c r="A163" s="72"/>
      <c r="B163" s="73"/>
      <c r="C163" s="87"/>
      <c r="D163" s="74"/>
      <c r="E163" s="74"/>
      <c r="F163" s="72"/>
      <c r="G163" s="76"/>
      <c r="H163" s="76"/>
      <c r="I163" s="72"/>
      <c r="J163" s="24"/>
      <c r="K163" s="24"/>
      <c r="L163" s="24"/>
      <c r="M163" s="24"/>
    </row>
    <row r="164" ht="18.75" customHeight="1">
      <c r="A164" s="72"/>
      <c r="B164" s="73"/>
      <c r="C164" s="87"/>
      <c r="D164" s="74"/>
      <c r="E164" s="74"/>
      <c r="F164" s="72"/>
      <c r="G164" s="76"/>
      <c r="H164" s="76"/>
      <c r="I164" s="72"/>
      <c r="J164" s="24"/>
      <c r="K164" s="24"/>
      <c r="L164" s="24"/>
      <c r="M164" s="24"/>
    </row>
    <row r="165" ht="18.75" customHeight="1">
      <c r="A165" s="72"/>
      <c r="B165" s="73"/>
      <c r="C165" s="87"/>
      <c r="D165" s="74"/>
      <c r="E165" s="74"/>
      <c r="F165" s="72"/>
      <c r="G165" s="76"/>
      <c r="H165" s="76"/>
      <c r="I165" s="72"/>
      <c r="J165" s="24"/>
      <c r="K165" s="24"/>
      <c r="L165" s="24"/>
      <c r="M165" s="24"/>
    </row>
    <row r="166" ht="18.75" customHeight="1">
      <c r="A166" s="72"/>
      <c r="B166" s="73"/>
      <c r="C166" s="87"/>
      <c r="D166" s="74"/>
      <c r="E166" s="74"/>
      <c r="F166" s="72"/>
      <c r="G166" s="76"/>
      <c r="H166" s="76"/>
      <c r="I166" s="72"/>
      <c r="J166" s="24"/>
      <c r="K166" s="24"/>
      <c r="L166" s="24"/>
      <c r="M166" s="24"/>
    </row>
    <row r="167" ht="18.75" customHeight="1">
      <c r="A167" s="72"/>
      <c r="B167" s="73"/>
      <c r="C167" s="87"/>
      <c r="D167" s="74"/>
      <c r="E167" s="74"/>
      <c r="F167" s="72"/>
      <c r="G167" s="76"/>
      <c r="H167" s="76"/>
      <c r="I167" s="72"/>
      <c r="J167" s="24"/>
      <c r="K167" s="24"/>
      <c r="L167" s="24"/>
      <c r="M167" s="24"/>
    </row>
    <row r="168" ht="18.75" customHeight="1">
      <c r="A168" s="72"/>
      <c r="B168" s="73"/>
      <c r="C168" s="87"/>
      <c r="D168" s="74"/>
      <c r="E168" s="74"/>
      <c r="F168" s="72"/>
      <c r="G168" s="76"/>
      <c r="H168" s="76"/>
      <c r="I168" s="72"/>
      <c r="J168" s="24"/>
      <c r="K168" s="24"/>
      <c r="L168" s="24"/>
      <c r="M168" s="24"/>
    </row>
    <row r="169" ht="18.75" customHeight="1">
      <c r="A169" s="72"/>
      <c r="B169" s="73"/>
      <c r="C169" s="87"/>
      <c r="D169" s="74"/>
      <c r="E169" s="74"/>
      <c r="F169" s="72"/>
      <c r="G169" s="76"/>
      <c r="H169" s="76"/>
      <c r="I169" s="72"/>
      <c r="J169" s="24"/>
      <c r="K169" s="24"/>
      <c r="L169" s="24"/>
      <c r="M169" s="24"/>
    </row>
    <row r="170" ht="18.75" customHeight="1">
      <c r="A170" s="72"/>
      <c r="B170" s="73"/>
      <c r="C170" s="87"/>
      <c r="D170" s="74"/>
      <c r="E170" s="74"/>
      <c r="F170" s="72"/>
      <c r="G170" s="76"/>
      <c r="H170" s="76"/>
      <c r="I170" s="72"/>
      <c r="J170" s="24"/>
      <c r="K170" s="24"/>
      <c r="L170" s="24"/>
      <c r="M170" s="24"/>
    </row>
    <row r="171" ht="18.75" customHeight="1">
      <c r="A171" s="72"/>
      <c r="B171" s="73"/>
      <c r="C171" s="87"/>
      <c r="D171" s="74"/>
      <c r="E171" s="74"/>
      <c r="F171" s="72"/>
      <c r="G171" s="76"/>
      <c r="H171" s="76"/>
      <c r="I171" s="72"/>
      <c r="J171" s="24"/>
      <c r="K171" s="24"/>
      <c r="L171" s="24"/>
      <c r="M171" s="24"/>
    </row>
    <row r="172" ht="18.75" customHeight="1">
      <c r="A172" s="72"/>
      <c r="B172" s="73"/>
      <c r="C172" s="87"/>
      <c r="D172" s="74"/>
      <c r="E172" s="74"/>
      <c r="F172" s="72"/>
      <c r="G172" s="76"/>
      <c r="H172" s="76"/>
      <c r="I172" s="72"/>
      <c r="J172" s="24"/>
      <c r="K172" s="24"/>
      <c r="L172" s="24"/>
      <c r="M172" s="24"/>
    </row>
    <row r="173" ht="18.75" customHeight="1">
      <c r="A173" s="72"/>
      <c r="B173" s="73"/>
      <c r="C173" s="87"/>
      <c r="D173" s="74"/>
      <c r="E173" s="74"/>
      <c r="F173" s="72"/>
      <c r="G173" s="76"/>
      <c r="H173" s="76"/>
      <c r="I173" s="72"/>
      <c r="J173" s="24"/>
      <c r="K173" s="24"/>
      <c r="L173" s="24"/>
      <c r="M173" s="24"/>
    </row>
    <row r="174" ht="18.75" customHeight="1">
      <c r="A174" s="72"/>
      <c r="B174" s="73"/>
      <c r="C174" s="87"/>
      <c r="D174" s="74"/>
      <c r="E174" s="74"/>
      <c r="F174" s="72"/>
      <c r="G174" s="76"/>
      <c r="H174" s="76"/>
      <c r="I174" s="72"/>
      <c r="J174" s="24"/>
      <c r="K174" s="24"/>
      <c r="L174" s="24"/>
      <c r="M174" s="24"/>
    </row>
    <row r="175" ht="18.75" customHeight="1">
      <c r="A175" s="72"/>
      <c r="B175" s="73"/>
      <c r="C175" s="87"/>
      <c r="D175" s="74"/>
      <c r="E175" s="74"/>
      <c r="F175" s="72"/>
      <c r="G175" s="76"/>
      <c r="H175" s="76"/>
      <c r="I175" s="72"/>
      <c r="J175" s="24"/>
      <c r="K175" s="24"/>
      <c r="L175" s="24"/>
      <c r="M175" s="24"/>
    </row>
    <row r="176" ht="18.75" customHeight="1">
      <c r="A176" s="72"/>
      <c r="B176" s="73"/>
      <c r="C176" s="87"/>
      <c r="D176" s="74"/>
      <c r="E176" s="74"/>
      <c r="F176" s="72"/>
      <c r="G176" s="76"/>
      <c r="H176" s="76"/>
      <c r="I176" s="72"/>
      <c r="J176" s="24"/>
      <c r="K176" s="24"/>
      <c r="L176" s="24"/>
      <c r="M176" s="24"/>
    </row>
    <row r="177" ht="18.75" customHeight="1">
      <c r="A177" s="72"/>
      <c r="B177" s="73"/>
      <c r="C177" s="87"/>
      <c r="D177" s="74"/>
      <c r="E177" s="74"/>
      <c r="F177" s="72"/>
      <c r="G177" s="76"/>
      <c r="H177" s="76"/>
      <c r="I177" s="72"/>
      <c r="J177" s="24"/>
      <c r="K177" s="24"/>
      <c r="L177" s="24"/>
      <c r="M177" s="24"/>
    </row>
    <row r="178" ht="18.75" customHeight="1">
      <c r="A178" s="72"/>
      <c r="B178" s="73"/>
      <c r="C178" s="87"/>
      <c r="D178" s="74"/>
      <c r="E178" s="74"/>
      <c r="F178" s="72"/>
      <c r="G178" s="76"/>
      <c r="H178" s="76"/>
      <c r="I178" s="72"/>
      <c r="J178" s="24"/>
      <c r="K178" s="24"/>
      <c r="L178" s="24"/>
      <c r="M178" s="24"/>
    </row>
    <row r="179" ht="18.75" customHeight="1">
      <c r="A179" s="72"/>
      <c r="B179" s="73"/>
      <c r="C179" s="87"/>
      <c r="D179" s="74"/>
      <c r="E179" s="74"/>
      <c r="F179" s="72"/>
      <c r="G179" s="76"/>
      <c r="H179" s="76"/>
      <c r="I179" s="72"/>
      <c r="J179" s="24"/>
      <c r="K179" s="24"/>
      <c r="L179" s="24"/>
      <c r="M179" s="24"/>
    </row>
    <row r="180" ht="18.75" customHeight="1">
      <c r="A180" s="72"/>
      <c r="B180" s="73"/>
      <c r="C180" s="87"/>
      <c r="D180" s="74"/>
      <c r="E180" s="74"/>
      <c r="F180" s="72"/>
      <c r="G180" s="76"/>
      <c r="H180" s="76"/>
      <c r="I180" s="72"/>
      <c r="J180" s="24"/>
      <c r="K180" s="24"/>
      <c r="L180" s="24"/>
      <c r="M180" s="24"/>
    </row>
    <row r="181" ht="18.75" customHeight="1">
      <c r="A181" s="72"/>
      <c r="B181" s="73"/>
      <c r="C181" s="87"/>
      <c r="D181" s="74"/>
      <c r="E181" s="74"/>
      <c r="F181" s="72"/>
      <c r="G181" s="76"/>
      <c r="H181" s="76"/>
      <c r="I181" s="72"/>
      <c r="J181" s="24"/>
      <c r="K181" s="24"/>
      <c r="L181" s="24"/>
      <c r="M181" s="24"/>
    </row>
    <row r="182" ht="18.75" customHeight="1">
      <c r="A182" s="72"/>
      <c r="B182" s="73"/>
      <c r="C182" s="87"/>
      <c r="D182" s="74"/>
      <c r="E182" s="74"/>
      <c r="F182" s="72"/>
      <c r="G182" s="76"/>
      <c r="H182" s="76"/>
      <c r="I182" s="72"/>
      <c r="J182" s="24"/>
      <c r="K182" s="24"/>
      <c r="L182" s="24"/>
      <c r="M182" s="24"/>
    </row>
    <row r="183" ht="18.75" customHeight="1">
      <c r="A183" s="72"/>
      <c r="B183" s="73"/>
      <c r="C183" s="87"/>
      <c r="D183" s="74"/>
      <c r="E183" s="74"/>
      <c r="F183" s="72"/>
      <c r="G183" s="76"/>
      <c r="H183" s="76"/>
      <c r="I183" s="72"/>
      <c r="J183" s="24"/>
      <c r="K183" s="24"/>
      <c r="L183" s="24"/>
      <c r="M183" s="24"/>
    </row>
    <row r="184" ht="18.75" customHeight="1">
      <c r="A184" s="72"/>
      <c r="B184" s="73"/>
      <c r="C184" s="87"/>
      <c r="D184" s="74"/>
      <c r="E184" s="74"/>
      <c r="F184" s="72"/>
      <c r="G184" s="76"/>
      <c r="H184" s="76"/>
      <c r="I184" s="72"/>
      <c r="J184" s="24"/>
      <c r="K184" s="24"/>
      <c r="L184" s="24"/>
      <c r="M184" s="24"/>
    </row>
    <row r="185" ht="18.75" customHeight="1">
      <c r="A185" s="72"/>
      <c r="B185" s="73"/>
      <c r="C185" s="87"/>
      <c r="D185" s="74"/>
      <c r="E185" s="74"/>
      <c r="F185" s="72"/>
      <c r="G185" s="76"/>
      <c r="H185" s="76"/>
      <c r="I185" s="72"/>
      <c r="J185" s="24"/>
      <c r="K185" s="24"/>
      <c r="L185" s="24"/>
      <c r="M185" s="24"/>
    </row>
    <row r="186" ht="18.75" customHeight="1">
      <c r="A186" s="72"/>
      <c r="B186" s="73"/>
      <c r="C186" s="87"/>
      <c r="D186" s="74"/>
      <c r="E186" s="74"/>
      <c r="F186" s="72"/>
      <c r="G186" s="76"/>
      <c r="H186" s="76"/>
      <c r="I186" s="72"/>
      <c r="J186" s="24"/>
      <c r="K186" s="24"/>
      <c r="L186" s="24"/>
      <c r="M186" s="24"/>
    </row>
    <row r="187" ht="18.75" customHeight="1">
      <c r="A187" s="72"/>
      <c r="B187" s="73"/>
      <c r="C187" s="87"/>
      <c r="D187" s="74"/>
      <c r="E187" s="74"/>
      <c r="F187" s="72"/>
      <c r="G187" s="76"/>
      <c r="H187" s="76"/>
      <c r="I187" s="72"/>
      <c r="J187" s="24"/>
      <c r="K187" s="24"/>
      <c r="L187" s="24"/>
      <c r="M187" s="24"/>
    </row>
    <row r="188" ht="18.75" customHeight="1">
      <c r="A188" s="72"/>
      <c r="B188" s="73"/>
      <c r="C188" s="87"/>
      <c r="D188" s="74"/>
      <c r="E188" s="74"/>
      <c r="F188" s="72"/>
      <c r="G188" s="76"/>
      <c r="H188" s="76"/>
      <c r="I188" s="72"/>
      <c r="J188" s="24"/>
      <c r="K188" s="24"/>
      <c r="L188" s="24"/>
      <c r="M188" s="24"/>
    </row>
    <row r="189" ht="18.75" customHeight="1">
      <c r="A189" s="72"/>
      <c r="B189" s="73"/>
      <c r="C189" s="87"/>
      <c r="D189" s="74"/>
      <c r="E189" s="74"/>
      <c r="F189" s="72"/>
      <c r="G189" s="76"/>
      <c r="H189" s="76"/>
      <c r="I189" s="72"/>
      <c r="J189" s="24"/>
      <c r="K189" s="24"/>
      <c r="L189" s="24"/>
      <c r="M189" s="24"/>
    </row>
    <row r="190" ht="18.75" customHeight="1">
      <c r="A190" s="72"/>
      <c r="B190" s="73"/>
      <c r="C190" s="87"/>
      <c r="D190" s="74"/>
      <c r="E190" s="74"/>
      <c r="F190" s="72"/>
      <c r="G190" s="76"/>
      <c r="H190" s="76"/>
      <c r="I190" s="72"/>
      <c r="J190" s="24"/>
      <c r="K190" s="24"/>
      <c r="L190" s="24"/>
      <c r="M190" s="24"/>
    </row>
    <row r="191" ht="18.75" customHeight="1">
      <c r="A191" s="72"/>
      <c r="B191" s="73"/>
      <c r="C191" s="87"/>
      <c r="D191" s="74"/>
      <c r="E191" s="74"/>
      <c r="F191" s="72"/>
      <c r="G191" s="76"/>
      <c r="H191" s="76"/>
      <c r="I191" s="72"/>
      <c r="J191" s="24"/>
      <c r="K191" s="24"/>
      <c r="L191" s="24"/>
      <c r="M191" s="24"/>
    </row>
    <row r="192" ht="18.75" customHeight="1">
      <c r="A192" s="72"/>
      <c r="B192" s="73"/>
      <c r="C192" s="87"/>
      <c r="D192" s="74"/>
      <c r="E192" s="74"/>
      <c r="F192" s="72"/>
      <c r="G192" s="76"/>
      <c r="H192" s="76"/>
      <c r="I192" s="72"/>
      <c r="J192" s="24"/>
      <c r="K192" s="24"/>
      <c r="L192" s="24"/>
      <c r="M192" s="24"/>
    </row>
    <row r="193" ht="18.75" customHeight="1">
      <c r="A193" s="72"/>
      <c r="B193" s="73"/>
      <c r="C193" s="87"/>
      <c r="D193" s="74"/>
      <c r="E193" s="74"/>
      <c r="F193" s="72"/>
      <c r="G193" s="76"/>
      <c r="H193" s="76"/>
      <c r="I193" s="72"/>
      <c r="J193" s="24"/>
      <c r="K193" s="24"/>
      <c r="L193" s="24"/>
      <c r="M193" s="24"/>
    </row>
    <row r="194" ht="18.75" customHeight="1">
      <c r="A194" s="72"/>
      <c r="B194" s="73"/>
      <c r="C194" s="87"/>
      <c r="D194" s="74"/>
      <c r="E194" s="74"/>
      <c r="F194" s="72"/>
      <c r="G194" s="76"/>
      <c r="H194" s="76"/>
      <c r="I194" s="72"/>
      <c r="J194" s="24"/>
      <c r="K194" s="24"/>
      <c r="L194" s="24"/>
      <c r="M194" s="24"/>
    </row>
    <row r="195" ht="18.75" customHeight="1">
      <c r="A195" s="72"/>
      <c r="B195" s="73"/>
      <c r="C195" s="87"/>
      <c r="D195" s="74"/>
      <c r="E195" s="74"/>
      <c r="F195" s="72"/>
      <c r="G195" s="76"/>
      <c r="H195" s="76"/>
      <c r="I195" s="72"/>
      <c r="J195" s="24"/>
      <c r="K195" s="24"/>
      <c r="L195" s="24"/>
      <c r="M195" s="24"/>
    </row>
    <row r="196" ht="18.75" customHeight="1">
      <c r="A196" s="72"/>
      <c r="B196" s="73"/>
      <c r="C196" s="87"/>
      <c r="D196" s="74"/>
      <c r="E196" s="74"/>
      <c r="F196" s="72"/>
      <c r="G196" s="76"/>
      <c r="H196" s="76"/>
      <c r="I196" s="72"/>
      <c r="J196" s="24"/>
      <c r="K196" s="24"/>
      <c r="L196" s="24"/>
      <c r="M196" s="24"/>
    </row>
    <row r="197" ht="18.75" customHeight="1">
      <c r="A197" s="72"/>
      <c r="B197" s="73"/>
      <c r="C197" s="87"/>
      <c r="D197" s="74"/>
      <c r="E197" s="74"/>
      <c r="F197" s="72"/>
      <c r="G197" s="76"/>
      <c r="H197" s="76"/>
      <c r="I197" s="72"/>
      <c r="J197" s="24"/>
      <c r="K197" s="24"/>
      <c r="L197" s="24"/>
      <c r="M197" s="24"/>
    </row>
    <row r="198" ht="18.75" customHeight="1">
      <c r="A198" s="72"/>
      <c r="B198" s="73"/>
      <c r="C198" s="87"/>
      <c r="D198" s="74"/>
      <c r="E198" s="74"/>
      <c r="F198" s="72"/>
      <c r="G198" s="76"/>
      <c r="H198" s="76"/>
      <c r="I198" s="72"/>
      <c r="J198" s="24"/>
      <c r="K198" s="24"/>
      <c r="L198" s="24"/>
      <c r="M198" s="24"/>
    </row>
    <row r="199" ht="18.75" customHeight="1">
      <c r="A199" s="72"/>
      <c r="B199" s="73"/>
      <c r="C199" s="87"/>
      <c r="D199" s="74"/>
      <c r="E199" s="74"/>
      <c r="F199" s="72"/>
      <c r="G199" s="76"/>
      <c r="H199" s="76"/>
      <c r="I199" s="72"/>
      <c r="J199" s="24"/>
      <c r="K199" s="24"/>
      <c r="L199" s="24"/>
      <c r="M199" s="24"/>
    </row>
    <row r="200" ht="18.75" customHeight="1">
      <c r="A200" s="72"/>
      <c r="B200" s="73"/>
      <c r="C200" s="87"/>
      <c r="D200" s="74"/>
      <c r="E200" s="74"/>
      <c r="F200" s="72"/>
      <c r="G200" s="76"/>
      <c r="H200" s="76"/>
      <c r="I200" s="72"/>
      <c r="J200" s="24"/>
      <c r="K200" s="24"/>
      <c r="L200" s="24"/>
      <c r="M200" s="24"/>
    </row>
    <row r="201" ht="18.75" customHeight="1">
      <c r="A201" s="72"/>
      <c r="B201" s="73"/>
      <c r="C201" s="87"/>
      <c r="D201" s="74"/>
      <c r="E201" s="74"/>
      <c r="F201" s="72"/>
      <c r="G201" s="76"/>
      <c r="H201" s="76"/>
      <c r="I201" s="72"/>
      <c r="J201" s="24"/>
      <c r="K201" s="24"/>
      <c r="L201" s="24"/>
      <c r="M201" s="24"/>
    </row>
    <row r="202" ht="18.75" customHeight="1">
      <c r="A202" s="72"/>
      <c r="B202" s="73"/>
      <c r="C202" s="87"/>
      <c r="D202" s="74"/>
      <c r="E202" s="74"/>
      <c r="F202" s="72"/>
      <c r="G202" s="76"/>
      <c r="H202" s="76"/>
      <c r="I202" s="72"/>
      <c r="J202" s="24"/>
      <c r="K202" s="24"/>
      <c r="L202" s="24"/>
      <c r="M202" s="24"/>
    </row>
    <row r="203" ht="18.75" customHeight="1">
      <c r="A203" s="72"/>
      <c r="B203" s="73"/>
      <c r="C203" s="87"/>
      <c r="D203" s="74"/>
      <c r="E203" s="74"/>
      <c r="F203" s="72"/>
      <c r="G203" s="76"/>
      <c r="H203" s="76"/>
      <c r="I203" s="72"/>
      <c r="J203" s="24"/>
      <c r="K203" s="24"/>
      <c r="L203" s="24"/>
      <c r="M203" s="24"/>
    </row>
    <row r="204" ht="18.75" customHeight="1">
      <c r="A204" s="72"/>
      <c r="B204" s="73"/>
      <c r="C204" s="87"/>
      <c r="D204" s="74"/>
      <c r="E204" s="74"/>
      <c r="F204" s="72"/>
      <c r="G204" s="76"/>
      <c r="H204" s="76"/>
      <c r="I204" s="72"/>
      <c r="J204" s="24"/>
      <c r="K204" s="24"/>
      <c r="L204" s="24"/>
      <c r="M204" s="24"/>
    </row>
    <row r="205" ht="18.75" customHeight="1">
      <c r="A205" s="72"/>
      <c r="B205" s="73"/>
      <c r="C205" s="87"/>
      <c r="D205" s="74"/>
      <c r="E205" s="74"/>
      <c r="F205" s="72"/>
      <c r="G205" s="76"/>
      <c r="H205" s="76"/>
      <c r="I205" s="72"/>
      <c r="J205" s="24"/>
      <c r="K205" s="24"/>
      <c r="L205" s="24"/>
      <c r="M205" s="24"/>
    </row>
    <row r="206" ht="18.75" customHeight="1">
      <c r="A206" s="72"/>
      <c r="B206" s="73"/>
      <c r="C206" s="87"/>
      <c r="D206" s="74"/>
      <c r="E206" s="74"/>
      <c r="F206" s="72"/>
      <c r="G206" s="76"/>
      <c r="H206" s="76"/>
      <c r="I206" s="72"/>
      <c r="J206" s="24"/>
      <c r="K206" s="24"/>
      <c r="L206" s="24"/>
      <c r="M206" s="24"/>
    </row>
    <row r="207" ht="18.75" customHeight="1">
      <c r="A207" s="72"/>
      <c r="B207" s="73"/>
      <c r="C207" s="87"/>
      <c r="D207" s="74"/>
      <c r="E207" s="74"/>
      <c r="F207" s="72"/>
      <c r="G207" s="76"/>
      <c r="H207" s="76"/>
      <c r="I207" s="72"/>
      <c r="J207" s="24"/>
      <c r="K207" s="24"/>
      <c r="L207" s="24"/>
      <c r="M207" s="24"/>
    </row>
    <row r="208" ht="18.75" customHeight="1">
      <c r="A208" s="72"/>
      <c r="B208" s="73"/>
      <c r="C208" s="87"/>
      <c r="D208" s="74"/>
      <c r="E208" s="74"/>
      <c r="F208" s="72"/>
      <c r="G208" s="76"/>
      <c r="H208" s="76"/>
      <c r="I208" s="72"/>
      <c r="J208" s="24"/>
      <c r="K208" s="24"/>
      <c r="L208" s="24"/>
      <c r="M208" s="24"/>
    </row>
    <row r="209" ht="18.75" customHeight="1">
      <c r="A209" s="72"/>
      <c r="B209" s="73"/>
      <c r="C209" s="87"/>
      <c r="D209" s="74"/>
      <c r="E209" s="74"/>
      <c r="F209" s="72"/>
      <c r="G209" s="76"/>
      <c r="H209" s="76"/>
      <c r="I209" s="72"/>
      <c r="J209" s="24"/>
      <c r="K209" s="24"/>
      <c r="L209" s="24"/>
      <c r="M209" s="24"/>
    </row>
    <row r="210" ht="18.75" customHeight="1">
      <c r="A210" s="72"/>
      <c r="B210" s="73"/>
      <c r="C210" s="87"/>
      <c r="D210" s="74"/>
      <c r="E210" s="74"/>
      <c r="F210" s="72"/>
      <c r="G210" s="76"/>
      <c r="H210" s="76"/>
      <c r="I210" s="72"/>
      <c r="J210" s="24"/>
      <c r="K210" s="24"/>
      <c r="L210" s="24"/>
      <c r="M210" s="24"/>
    </row>
    <row r="211" ht="18.75" customHeight="1">
      <c r="A211" s="72"/>
      <c r="B211" s="73"/>
      <c r="C211" s="87"/>
      <c r="D211" s="74"/>
      <c r="E211" s="74"/>
      <c r="F211" s="72"/>
      <c r="G211" s="76"/>
      <c r="H211" s="76"/>
      <c r="I211" s="72"/>
      <c r="J211" s="24"/>
      <c r="K211" s="24"/>
      <c r="L211" s="24"/>
      <c r="M211" s="24"/>
    </row>
    <row r="212" ht="18.75" customHeight="1">
      <c r="A212" s="72"/>
      <c r="B212" s="73"/>
      <c r="C212" s="87"/>
      <c r="D212" s="74"/>
      <c r="E212" s="74"/>
      <c r="F212" s="72"/>
      <c r="G212" s="76"/>
      <c r="H212" s="76"/>
      <c r="I212" s="72"/>
      <c r="J212" s="24"/>
      <c r="K212" s="24"/>
      <c r="L212" s="24"/>
      <c r="M212" s="24"/>
    </row>
    <row r="213" ht="18.75" customHeight="1">
      <c r="A213" s="72"/>
      <c r="B213" s="73"/>
      <c r="C213" s="87"/>
      <c r="D213" s="74"/>
      <c r="E213" s="74"/>
      <c r="F213" s="72"/>
      <c r="G213" s="76"/>
      <c r="H213" s="76"/>
      <c r="I213" s="72"/>
      <c r="J213" s="24"/>
      <c r="K213" s="24"/>
      <c r="L213" s="24"/>
      <c r="M213" s="24"/>
    </row>
    <row r="214" ht="18.75" customHeight="1">
      <c r="A214" s="72"/>
      <c r="B214" s="73"/>
      <c r="C214" s="87"/>
      <c r="D214" s="74"/>
      <c r="E214" s="74"/>
      <c r="F214" s="72"/>
      <c r="G214" s="76"/>
      <c r="H214" s="76"/>
      <c r="I214" s="72"/>
      <c r="J214" s="24"/>
      <c r="K214" s="24"/>
      <c r="L214" s="24"/>
      <c r="M214" s="24"/>
    </row>
    <row r="215" ht="18.75" customHeight="1">
      <c r="A215" s="72"/>
      <c r="B215" s="73"/>
      <c r="C215" s="87"/>
      <c r="D215" s="74"/>
      <c r="E215" s="74"/>
      <c r="F215" s="72"/>
      <c r="G215" s="76"/>
      <c r="H215" s="76"/>
      <c r="I215" s="72"/>
      <c r="J215" s="24"/>
      <c r="K215" s="24"/>
      <c r="L215" s="24"/>
      <c r="M215" s="24"/>
    </row>
    <row r="216" ht="18.75" customHeight="1">
      <c r="A216" s="72"/>
      <c r="B216" s="73"/>
      <c r="C216" s="87"/>
      <c r="D216" s="74"/>
      <c r="E216" s="74"/>
      <c r="F216" s="72"/>
      <c r="G216" s="76"/>
      <c r="H216" s="76"/>
      <c r="I216" s="72"/>
      <c r="J216" s="24"/>
      <c r="K216" s="24"/>
      <c r="L216" s="24"/>
      <c r="M216" s="24"/>
    </row>
    <row r="217" ht="18.75" customHeight="1">
      <c r="A217" s="72"/>
      <c r="B217" s="73"/>
      <c r="C217" s="87"/>
      <c r="D217" s="74"/>
      <c r="E217" s="74"/>
      <c r="F217" s="72"/>
      <c r="G217" s="76"/>
      <c r="H217" s="76"/>
      <c r="I217" s="72"/>
      <c r="J217" s="24"/>
      <c r="K217" s="24"/>
      <c r="L217" s="24"/>
      <c r="M217" s="24"/>
    </row>
    <row r="218" ht="18.75" customHeight="1">
      <c r="A218" s="72"/>
      <c r="B218" s="73"/>
      <c r="C218" s="87"/>
      <c r="D218" s="74"/>
      <c r="E218" s="74"/>
      <c r="F218" s="72"/>
      <c r="G218" s="76"/>
      <c r="H218" s="76"/>
      <c r="I218" s="72"/>
      <c r="J218" s="24"/>
      <c r="K218" s="24"/>
      <c r="L218" s="24"/>
      <c r="M218" s="24"/>
    </row>
    <row r="219" ht="18.75" customHeight="1">
      <c r="A219" s="72"/>
      <c r="B219" s="73"/>
      <c r="C219" s="87"/>
      <c r="D219" s="74"/>
      <c r="E219" s="74"/>
      <c r="F219" s="72"/>
      <c r="G219" s="76"/>
      <c r="H219" s="76"/>
      <c r="I219" s="72"/>
      <c r="J219" s="24"/>
      <c r="K219" s="24"/>
      <c r="L219" s="24"/>
      <c r="M219" s="24"/>
    </row>
    <row r="220" ht="18.75" customHeight="1">
      <c r="A220" s="72"/>
      <c r="B220" s="73"/>
      <c r="C220" s="87"/>
      <c r="D220" s="74"/>
      <c r="E220" s="74"/>
      <c r="F220" s="72"/>
      <c r="G220" s="76"/>
      <c r="H220" s="76"/>
      <c r="I220" s="72"/>
      <c r="J220" s="24"/>
      <c r="K220" s="24"/>
      <c r="L220" s="24"/>
      <c r="M220" s="24"/>
    </row>
    <row r="221" ht="18.75" customHeight="1">
      <c r="A221" s="72"/>
      <c r="B221" s="73"/>
      <c r="C221" s="87"/>
      <c r="D221" s="74"/>
      <c r="E221" s="74"/>
      <c r="F221" s="72"/>
      <c r="G221" s="76"/>
      <c r="H221" s="76"/>
      <c r="I221" s="72"/>
      <c r="J221" s="24"/>
      <c r="K221" s="24"/>
      <c r="L221" s="24"/>
      <c r="M221" s="24"/>
    </row>
    <row r="222" ht="18.75" customHeight="1">
      <c r="A222" s="72"/>
      <c r="B222" s="73"/>
      <c r="C222" s="87"/>
      <c r="D222" s="74"/>
      <c r="E222" s="74"/>
      <c r="F222" s="72"/>
      <c r="G222" s="76"/>
      <c r="H222" s="76"/>
      <c r="I222" s="72"/>
      <c r="J222" s="24"/>
      <c r="K222" s="24"/>
      <c r="L222" s="24"/>
      <c r="M222" s="24"/>
    </row>
    <row r="223" ht="18.75" customHeight="1">
      <c r="A223" s="72"/>
      <c r="B223" s="59"/>
      <c r="C223" s="87"/>
      <c r="D223" s="74"/>
      <c r="E223" s="74"/>
      <c r="F223" s="72"/>
      <c r="G223" s="76"/>
      <c r="H223" s="76"/>
      <c r="I223" s="72"/>
      <c r="J223" s="24"/>
      <c r="K223" s="24"/>
      <c r="L223" s="24"/>
      <c r="M223" s="24"/>
    </row>
    <row r="224" ht="15.75" customHeight="1">
      <c r="B224" s="59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M2"/>
    <mergeCell ref="J4:J25"/>
    <mergeCell ref="K4:K25"/>
    <mergeCell ref="L4:L25"/>
    <mergeCell ref="M4:M25"/>
  </mergeCells>
  <conditionalFormatting sqref="B4">
    <cfRule type="expression" dxfId="0" priority="1">
      <formula>LEN(TRIM(B4))=0</formula>
    </cfRule>
  </conditionalFormatting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0.0"/>
    <col customWidth="1" min="8" max="19" width="9.14"/>
  </cols>
  <sheetData>
    <row r="1" ht="24.0" customHeight="1">
      <c r="A1" s="92" t="s">
        <v>404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120" t="s">
        <v>3</v>
      </c>
      <c r="C3" s="98" t="s">
        <v>4</v>
      </c>
      <c r="D3" s="175" t="s">
        <v>5</v>
      </c>
      <c r="E3" s="175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ht="18.75" customHeight="1">
      <c r="A4" s="127">
        <v>1.0</v>
      </c>
      <c r="B4" s="187">
        <v>45482.0</v>
      </c>
      <c r="C4" s="188" t="s">
        <v>389</v>
      </c>
      <c r="D4" s="189" t="s">
        <v>406</v>
      </c>
      <c r="E4" s="190" t="s">
        <v>61</v>
      </c>
      <c r="F4" s="191">
        <v>1.0</v>
      </c>
      <c r="G4" s="192">
        <v>5800.0</v>
      </c>
    </row>
    <row r="5" ht="18.75" customHeight="1">
      <c r="A5" s="127">
        <v>2.0</v>
      </c>
      <c r="B5" s="187">
        <v>45483.0</v>
      </c>
      <c r="C5" s="188" t="s">
        <v>172</v>
      </c>
      <c r="D5" s="193" t="s">
        <v>91</v>
      </c>
      <c r="E5" s="194" t="s">
        <v>57</v>
      </c>
      <c r="F5" s="195">
        <v>1.0</v>
      </c>
      <c r="G5" s="192">
        <v>3200.0</v>
      </c>
    </row>
    <row r="6" ht="18.75" customHeight="1">
      <c r="A6" s="127">
        <v>3.0</v>
      </c>
      <c r="B6" s="187">
        <v>45484.0</v>
      </c>
      <c r="C6" s="188" t="s">
        <v>172</v>
      </c>
      <c r="D6" s="193" t="s">
        <v>370</v>
      </c>
      <c r="E6" s="194" t="s">
        <v>156</v>
      </c>
      <c r="F6" s="195">
        <v>1.0</v>
      </c>
      <c r="G6" s="196">
        <v>3200.0</v>
      </c>
    </row>
    <row r="7" ht="18.75" customHeight="1">
      <c r="A7" s="127">
        <v>4.0</v>
      </c>
      <c r="B7" s="187">
        <v>45487.0</v>
      </c>
      <c r="C7" s="188" t="s">
        <v>192</v>
      </c>
      <c r="D7" s="193" t="s">
        <v>412</v>
      </c>
      <c r="E7" s="194" t="s">
        <v>93</v>
      </c>
      <c r="F7" s="195">
        <v>1.0</v>
      </c>
      <c r="G7" s="196">
        <v>6750.0</v>
      </c>
    </row>
    <row r="8" ht="18.75" customHeight="1">
      <c r="A8" s="127">
        <v>5.0</v>
      </c>
      <c r="B8" s="187">
        <v>45490.0</v>
      </c>
      <c r="C8" s="188" t="s">
        <v>413</v>
      </c>
      <c r="D8" s="193" t="s">
        <v>414</v>
      </c>
      <c r="E8" s="194" t="s">
        <v>415</v>
      </c>
      <c r="F8" s="195">
        <v>1.0</v>
      </c>
      <c r="G8" s="196">
        <v>5800.0</v>
      </c>
    </row>
    <row r="9" ht="18.75" customHeight="1">
      <c r="A9" s="127">
        <v>6.0</v>
      </c>
      <c r="B9" s="187">
        <v>45492.0</v>
      </c>
      <c r="C9" s="188" t="s">
        <v>402</v>
      </c>
      <c r="D9" s="193" t="s">
        <v>412</v>
      </c>
      <c r="E9" s="194" t="s">
        <v>31</v>
      </c>
      <c r="F9" s="195">
        <v>1.0</v>
      </c>
      <c r="G9" s="192">
        <v>4500.0</v>
      </c>
    </row>
    <row r="10" ht="18.75" customHeight="1">
      <c r="A10" s="127">
        <v>7.0</v>
      </c>
      <c r="B10" s="187">
        <v>45493.0</v>
      </c>
      <c r="C10" s="188" t="s">
        <v>389</v>
      </c>
      <c r="D10" s="193" t="s">
        <v>417</v>
      </c>
      <c r="E10" s="194" t="s">
        <v>171</v>
      </c>
      <c r="F10" s="195">
        <v>1.0</v>
      </c>
      <c r="G10" s="192">
        <v>6300.0</v>
      </c>
    </row>
    <row r="11" ht="18.75" customHeight="1">
      <c r="A11" s="127">
        <v>8.0</v>
      </c>
      <c r="B11" s="187">
        <v>45495.0</v>
      </c>
      <c r="C11" s="188" t="s">
        <v>418</v>
      </c>
      <c r="D11" s="193" t="s">
        <v>420</v>
      </c>
      <c r="E11" s="194" t="s">
        <v>31</v>
      </c>
      <c r="F11" s="195">
        <v>1.0</v>
      </c>
      <c r="G11" s="192">
        <v>4500.0</v>
      </c>
    </row>
    <row r="12" ht="18.75" customHeight="1">
      <c r="A12" s="127">
        <v>9.0</v>
      </c>
      <c r="B12" s="187">
        <v>45499.0</v>
      </c>
      <c r="C12" s="188" t="s">
        <v>243</v>
      </c>
      <c r="D12" s="193" t="s">
        <v>422</v>
      </c>
      <c r="E12" s="194" t="s">
        <v>201</v>
      </c>
      <c r="F12" s="195">
        <v>1.0</v>
      </c>
      <c r="G12" s="192">
        <v>9900.0</v>
      </c>
    </row>
    <row r="13" ht="18.75" customHeight="1">
      <c r="A13" s="127">
        <v>10.0</v>
      </c>
      <c r="B13" s="187"/>
      <c r="C13" s="188" t="s">
        <v>277</v>
      </c>
      <c r="D13" s="193" t="s">
        <v>422</v>
      </c>
      <c r="E13" s="194" t="s">
        <v>423</v>
      </c>
      <c r="F13" s="195">
        <v>1.0</v>
      </c>
      <c r="G13" s="192">
        <v>1620.0</v>
      </c>
    </row>
    <row r="14" ht="18.75" customHeight="1">
      <c r="A14" s="127">
        <v>11.0</v>
      </c>
      <c r="B14" s="187">
        <v>45495.0</v>
      </c>
      <c r="C14" s="188" t="s">
        <v>277</v>
      </c>
      <c r="D14" s="193" t="s">
        <v>36</v>
      </c>
      <c r="E14" s="194" t="s">
        <v>201</v>
      </c>
      <c r="F14" s="195">
        <v>1.0</v>
      </c>
      <c r="G14" s="192">
        <v>1800.0</v>
      </c>
    </row>
    <row r="15" ht="18.75" customHeight="1">
      <c r="A15" s="127">
        <v>12.0</v>
      </c>
      <c r="B15" s="187">
        <v>45500.0</v>
      </c>
      <c r="C15" s="188" t="s">
        <v>391</v>
      </c>
      <c r="D15" s="193" t="s">
        <v>412</v>
      </c>
      <c r="E15" s="194" t="s">
        <v>311</v>
      </c>
      <c r="F15" s="195">
        <v>1.0</v>
      </c>
      <c r="G15" s="192">
        <v>5200.0</v>
      </c>
    </row>
    <row r="16" ht="18.75" customHeight="1">
      <c r="A16" s="127">
        <v>13.0</v>
      </c>
      <c r="B16" s="187">
        <v>45502.0</v>
      </c>
      <c r="C16" s="188" t="s">
        <v>391</v>
      </c>
      <c r="D16" s="193" t="s">
        <v>427</v>
      </c>
      <c r="E16" s="194">
        <v>5008.0</v>
      </c>
      <c r="F16" s="195">
        <v>1.0</v>
      </c>
      <c r="G16" s="192">
        <v>4200.0</v>
      </c>
    </row>
    <row r="17" ht="18.75" customHeight="1">
      <c r="A17" s="127">
        <v>14.0</v>
      </c>
      <c r="B17" s="187">
        <v>45506.0</v>
      </c>
      <c r="C17" s="188" t="s">
        <v>429</v>
      </c>
      <c r="D17" s="193" t="s">
        <v>430</v>
      </c>
      <c r="E17" s="194" t="s">
        <v>156</v>
      </c>
      <c r="F17" s="195">
        <v>1.0</v>
      </c>
      <c r="G17" s="192">
        <v>1800.0</v>
      </c>
    </row>
    <row r="18" ht="18.75" customHeight="1">
      <c r="A18" s="127">
        <v>15.0</v>
      </c>
      <c r="B18" s="187">
        <v>45508.0</v>
      </c>
      <c r="C18" s="188" t="s">
        <v>389</v>
      </c>
      <c r="D18" s="193" t="s">
        <v>215</v>
      </c>
      <c r="E18" s="194" t="s">
        <v>57</v>
      </c>
      <c r="F18" s="195">
        <v>1.0</v>
      </c>
      <c r="G18" s="192">
        <v>6220.0</v>
      </c>
    </row>
    <row r="19" ht="18.75" customHeight="1">
      <c r="A19" s="127">
        <v>16.0</v>
      </c>
      <c r="B19" s="187">
        <v>45508.0</v>
      </c>
      <c r="C19" s="168" t="s">
        <v>432</v>
      </c>
      <c r="D19" s="197" t="s">
        <v>433</v>
      </c>
      <c r="E19" s="198" t="s">
        <v>61</v>
      </c>
      <c r="F19" s="195">
        <v>1.0</v>
      </c>
      <c r="G19" s="196">
        <v>2800.0</v>
      </c>
    </row>
    <row r="20" ht="18.75" customHeight="1">
      <c r="A20" s="127">
        <v>17.0</v>
      </c>
      <c r="B20" s="187">
        <v>45509.0</v>
      </c>
      <c r="C20" s="168" t="s">
        <v>436</v>
      </c>
      <c r="D20" s="197" t="s">
        <v>437</v>
      </c>
      <c r="E20" s="198" t="s">
        <v>28</v>
      </c>
      <c r="F20" s="195">
        <v>1.0</v>
      </c>
      <c r="G20" s="196">
        <v>5850.0</v>
      </c>
    </row>
    <row r="21" ht="18.75" customHeight="1">
      <c r="A21" s="127">
        <v>18.0</v>
      </c>
      <c r="B21" s="187">
        <v>45510.0</v>
      </c>
      <c r="C21" s="168" t="s">
        <v>438</v>
      </c>
      <c r="D21" s="197" t="s">
        <v>439</v>
      </c>
      <c r="E21" s="198" t="s">
        <v>147</v>
      </c>
      <c r="F21" s="195">
        <v>1.0</v>
      </c>
      <c r="G21" s="196">
        <v>6120.0</v>
      </c>
    </row>
    <row r="22" ht="18.75" customHeight="1">
      <c r="A22" s="127">
        <v>19.0</v>
      </c>
      <c r="B22" s="187">
        <v>45511.0</v>
      </c>
      <c r="C22" s="168" t="s">
        <v>391</v>
      </c>
      <c r="D22" s="197" t="s">
        <v>440</v>
      </c>
      <c r="E22" s="198" t="s">
        <v>31</v>
      </c>
      <c r="F22" s="195">
        <v>1.0</v>
      </c>
      <c r="G22" s="196">
        <v>4000.0</v>
      </c>
    </row>
    <row r="23" ht="18.75" customHeight="1">
      <c r="A23" s="199">
        <v>20.0</v>
      </c>
      <c r="B23" s="200"/>
      <c r="C23" s="201"/>
      <c r="D23" s="201"/>
      <c r="E23" s="201"/>
      <c r="F23" s="202"/>
      <c r="G23" s="203">
        <f>SUM(G4:G22)</f>
        <v>89560</v>
      </c>
    </row>
    <row r="24" ht="18.75" customHeight="1">
      <c r="A24" s="159">
        <v>21.0</v>
      </c>
      <c r="B24" s="204"/>
      <c r="C24" s="182"/>
      <c r="D24" s="182"/>
      <c r="E24" s="182"/>
      <c r="F24" s="183"/>
      <c r="G24" s="196"/>
    </row>
    <row r="25" ht="18.75" customHeight="1">
      <c r="A25" s="159">
        <v>22.0</v>
      </c>
      <c r="B25" s="204"/>
      <c r="C25" s="182"/>
      <c r="D25" s="182"/>
      <c r="E25" s="182"/>
      <c r="F25" s="183"/>
      <c r="G25" s="196"/>
    </row>
    <row r="26" ht="18.75" customHeight="1">
      <c r="A26" s="127">
        <v>23.0</v>
      </c>
      <c r="B26" s="205"/>
      <c r="C26" s="87"/>
      <c r="D26" s="74"/>
      <c r="E26" s="74"/>
      <c r="F26" s="75"/>
      <c r="G26" s="206"/>
    </row>
    <row r="27" ht="18.75" customHeight="1">
      <c r="A27" s="127">
        <v>24.0</v>
      </c>
      <c r="B27" s="205"/>
      <c r="C27" s="87"/>
      <c r="D27" s="74"/>
      <c r="E27" s="74"/>
      <c r="F27" s="75"/>
      <c r="G27" s="206"/>
    </row>
    <row r="28" ht="18.75" customHeight="1">
      <c r="A28" s="127">
        <v>25.0</v>
      </c>
      <c r="B28" s="205"/>
      <c r="C28" s="87"/>
      <c r="D28" s="74"/>
      <c r="E28" s="74"/>
      <c r="F28" s="75"/>
      <c r="G28" s="206"/>
    </row>
    <row r="29" ht="18.75" customHeight="1">
      <c r="A29" s="127">
        <v>26.0</v>
      </c>
      <c r="B29" s="205"/>
      <c r="C29" s="87"/>
      <c r="D29" s="74"/>
      <c r="E29" s="74"/>
      <c r="F29" s="75"/>
      <c r="G29" s="206"/>
    </row>
    <row r="30" ht="18.75" customHeight="1">
      <c r="A30" s="127">
        <v>27.0</v>
      </c>
      <c r="B30" s="205"/>
      <c r="C30" s="87"/>
      <c r="D30" s="74"/>
      <c r="E30" s="74"/>
      <c r="F30" s="75"/>
      <c r="G30" s="206"/>
    </row>
    <row r="31" ht="18.75" customHeight="1">
      <c r="A31" s="72"/>
      <c r="B31" s="73"/>
      <c r="C31" s="87"/>
      <c r="D31" s="74"/>
      <c r="E31" s="74"/>
      <c r="F31" s="75"/>
      <c r="G31" s="7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2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59"/>
      <c r="C223" s="87"/>
      <c r="D223" s="74"/>
      <c r="E223" s="74"/>
      <c r="F223" s="72"/>
      <c r="G223" s="76"/>
    </row>
    <row r="224" ht="15.75" customHeight="1">
      <c r="B224" s="59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404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140">
        <v>1.0</v>
      </c>
      <c r="B4" s="207">
        <v>45514.0</v>
      </c>
      <c r="C4" s="188" t="s">
        <v>389</v>
      </c>
      <c r="D4" s="189" t="s">
        <v>441</v>
      </c>
      <c r="E4" s="190" t="s">
        <v>156</v>
      </c>
      <c r="F4" s="191">
        <v>1.0</v>
      </c>
      <c r="G4" s="208">
        <v>5800.0</v>
      </c>
    </row>
    <row r="5" ht="18.75" customHeight="1">
      <c r="A5" s="140">
        <v>2.0</v>
      </c>
      <c r="B5" s="207">
        <v>45517.0</v>
      </c>
      <c r="C5" s="188" t="s">
        <v>429</v>
      </c>
      <c r="D5" s="193" t="s">
        <v>442</v>
      </c>
      <c r="E5" s="194" t="s">
        <v>134</v>
      </c>
      <c r="F5" s="195">
        <v>1.0</v>
      </c>
      <c r="G5" s="208">
        <v>1800.0</v>
      </c>
    </row>
    <row r="6" ht="18.75" customHeight="1">
      <c r="A6" s="140">
        <v>3.0</v>
      </c>
      <c r="B6" s="207">
        <v>45519.0</v>
      </c>
      <c r="C6" s="188" t="s">
        <v>429</v>
      </c>
      <c r="D6" s="193"/>
      <c r="E6" s="194" t="s">
        <v>443</v>
      </c>
      <c r="F6" s="195">
        <v>1.0</v>
      </c>
      <c r="G6" s="209">
        <v>1800.0</v>
      </c>
    </row>
    <row r="7" ht="18.75" customHeight="1">
      <c r="A7" s="140">
        <v>4.0</v>
      </c>
      <c r="B7" s="207">
        <v>45520.0</v>
      </c>
      <c r="C7" s="188" t="s">
        <v>444</v>
      </c>
      <c r="D7" s="193" t="s">
        <v>320</v>
      </c>
      <c r="E7" s="194" t="s">
        <v>61</v>
      </c>
      <c r="F7" s="195">
        <v>1.0</v>
      </c>
      <c r="G7" s="209">
        <v>4200.0</v>
      </c>
    </row>
    <row r="8" ht="18.75" customHeight="1">
      <c r="A8" s="140">
        <v>5.0</v>
      </c>
      <c r="B8" s="207">
        <v>45522.0</v>
      </c>
      <c r="C8" s="188" t="s">
        <v>432</v>
      </c>
      <c r="D8" s="193" t="s">
        <v>445</v>
      </c>
      <c r="E8" s="194" t="s">
        <v>156</v>
      </c>
      <c r="F8" s="195">
        <v>1.0</v>
      </c>
      <c r="G8" s="209">
        <v>2800.0</v>
      </c>
    </row>
    <row r="9" ht="18.75" customHeight="1">
      <c r="A9" s="140">
        <v>6.0</v>
      </c>
      <c r="B9" s="207">
        <v>45523.0</v>
      </c>
      <c r="C9" s="188" t="s">
        <v>228</v>
      </c>
      <c r="D9" s="193" t="s">
        <v>446</v>
      </c>
      <c r="E9" s="194" t="s">
        <v>80</v>
      </c>
      <c r="F9" s="195">
        <v>1.0</v>
      </c>
      <c r="G9" s="208">
        <v>3500.0</v>
      </c>
    </row>
    <row r="10" ht="18.75" customHeight="1">
      <c r="A10" s="140">
        <v>7.0</v>
      </c>
      <c r="B10" s="207">
        <v>45523.0</v>
      </c>
      <c r="C10" s="188" t="s">
        <v>444</v>
      </c>
      <c r="D10" s="193" t="s">
        <v>346</v>
      </c>
      <c r="E10" s="194" t="s">
        <v>61</v>
      </c>
      <c r="F10" s="195">
        <v>1.0</v>
      </c>
      <c r="G10" s="208">
        <v>4200.0</v>
      </c>
    </row>
    <row r="11" ht="18.75" customHeight="1">
      <c r="A11" s="140">
        <v>8.0</v>
      </c>
      <c r="B11" s="207">
        <v>45524.0</v>
      </c>
      <c r="C11" s="188" t="s">
        <v>438</v>
      </c>
      <c r="D11" s="193" t="s">
        <v>447</v>
      </c>
      <c r="E11" s="194" t="s">
        <v>250</v>
      </c>
      <c r="F11" s="195">
        <v>1.0</v>
      </c>
      <c r="G11" s="208">
        <v>6200.0</v>
      </c>
    </row>
    <row r="12" ht="18.75" customHeight="1">
      <c r="A12" s="140">
        <v>9.0</v>
      </c>
      <c r="B12" s="207">
        <v>45524.0</v>
      </c>
      <c r="C12" s="188" t="s">
        <v>444</v>
      </c>
      <c r="D12" s="193" t="s">
        <v>448</v>
      </c>
      <c r="E12" s="194" t="s">
        <v>28</v>
      </c>
      <c r="F12" s="195">
        <v>1.0</v>
      </c>
      <c r="G12" s="208">
        <v>4200.0</v>
      </c>
    </row>
    <row r="13" ht="18.75" customHeight="1">
      <c r="A13" s="140">
        <v>10.0</v>
      </c>
      <c r="B13" s="207">
        <v>45526.0</v>
      </c>
      <c r="C13" s="188" t="s">
        <v>389</v>
      </c>
      <c r="D13" s="193" t="s">
        <v>449</v>
      </c>
      <c r="E13" s="194" t="s">
        <v>319</v>
      </c>
      <c r="F13" s="195">
        <v>1.0</v>
      </c>
      <c r="G13" s="208">
        <v>5800.0</v>
      </c>
    </row>
    <row r="14" ht="18.75" customHeight="1">
      <c r="A14" s="140">
        <v>11.0</v>
      </c>
      <c r="B14" s="207">
        <v>45527.0</v>
      </c>
      <c r="C14" s="188" t="s">
        <v>429</v>
      </c>
      <c r="D14" s="193" t="s">
        <v>450</v>
      </c>
      <c r="E14" s="194" t="s">
        <v>61</v>
      </c>
      <c r="F14" s="195">
        <v>1.0</v>
      </c>
      <c r="G14" s="208">
        <v>1500.0</v>
      </c>
    </row>
    <row r="15" ht="18.75" customHeight="1">
      <c r="A15" s="140">
        <v>12.0</v>
      </c>
      <c r="B15" s="207">
        <v>45528.0</v>
      </c>
      <c r="C15" s="188" t="s">
        <v>451</v>
      </c>
      <c r="D15" s="193" t="s">
        <v>88</v>
      </c>
      <c r="E15" s="194" t="s">
        <v>452</v>
      </c>
      <c r="F15" s="195">
        <v>1.0</v>
      </c>
      <c r="G15" s="208">
        <v>5220.0</v>
      </c>
    </row>
    <row r="16" ht="18.75" customHeight="1">
      <c r="A16" s="140">
        <v>13.0</v>
      </c>
      <c r="B16" s="207">
        <v>45529.0</v>
      </c>
      <c r="C16" s="188" t="s">
        <v>409</v>
      </c>
      <c r="D16" s="193" t="s">
        <v>77</v>
      </c>
      <c r="E16" s="194" t="s">
        <v>156</v>
      </c>
      <c r="F16" s="195">
        <v>1.0</v>
      </c>
      <c r="G16" s="208">
        <v>5580.0</v>
      </c>
    </row>
    <row r="17" ht="18.75" customHeight="1">
      <c r="A17" s="140">
        <v>14.0</v>
      </c>
      <c r="B17" s="207">
        <v>45530.0</v>
      </c>
      <c r="C17" s="188" t="s">
        <v>451</v>
      </c>
      <c r="D17" s="193" t="s">
        <v>437</v>
      </c>
      <c r="E17" s="194" t="s">
        <v>349</v>
      </c>
      <c r="F17" s="195">
        <v>1.0</v>
      </c>
      <c r="G17" s="208">
        <v>5800.0</v>
      </c>
    </row>
    <row r="18" ht="18.75" customHeight="1">
      <c r="A18" s="140">
        <v>15.0</v>
      </c>
      <c r="B18" s="207">
        <v>45531.0</v>
      </c>
      <c r="C18" s="188" t="s">
        <v>389</v>
      </c>
      <c r="D18" s="193" t="s">
        <v>453</v>
      </c>
      <c r="E18" s="194" t="s">
        <v>61</v>
      </c>
      <c r="F18" s="195">
        <v>1.0</v>
      </c>
      <c r="G18" s="208">
        <v>6220.0</v>
      </c>
    </row>
    <row r="19" ht="18.75" customHeight="1">
      <c r="A19" s="140">
        <v>16.0</v>
      </c>
      <c r="B19" s="207">
        <v>45531.0</v>
      </c>
      <c r="C19" s="168" t="s">
        <v>324</v>
      </c>
      <c r="D19" s="197" t="s">
        <v>454</v>
      </c>
      <c r="E19" s="198" t="s">
        <v>455</v>
      </c>
      <c r="F19" s="195">
        <v>2.0</v>
      </c>
      <c r="G19" s="209">
        <v>4700.0</v>
      </c>
    </row>
    <row r="20" ht="18.75" customHeight="1">
      <c r="A20" s="140">
        <v>17.0</v>
      </c>
      <c r="B20" s="207">
        <v>45533.0</v>
      </c>
      <c r="C20" s="168" t="s">
        <v>389</v>
      </c>
      <c r="D20" s="197" t="s">
        <v>396</v>
      </c>
      <c r="E20" s="198" t="s">
        <v>397</v>
      </c>
      <c r="F20" s="195">
        <v>1.0</v>
      </c>
      <c r="G20" s="209">
        <v>5720.0</v>
      </c>
    </row>
    <row r="21" ht="18.75" customHeight="1">
      <c r="A21" s="140">
        <v>18.0</v>
      </c>
      <c r="B21" s="207">
        <v>45535.0</v>
      </c>
      <c r="C21" s="168" t="s">
        <v>429</v>
      </c>
      <c r="D21" s="197" t="s">
        <v>236</v>
      </c>
      <c r="E21" s="198" t="s">
        <v>66</v>
      </c>
      <c r="F21" s="195">
        <v>1.0</v>
      </c>
      <c r="G21" s="209">
        <v>1800.0</v>
      </c>
    </row>
    <row r="22" ht="18.75" customHeight="1">
      <c r="A22" s="140">
        <v>19.0</v>
      </c>
      <c r="B22" s="207">
        <v>45535.0</v>
      </c>
      <c r="C22" s="168" t="s">
        <v>456</v>
      </c>
      <c r="D22" s="197" t="s">
        <v>457</v>
      </c>
      <c r="E22" s="198" t="s">
        <v>458</v>
      </c>
      <c r="F22" s="195">
        <v>1.0</v>
      </c>
      <c r="G22" s="209">
        <v>4950.0</v>
      </c>
    </row>
    <row r="23" ht="18.75" customHeight="1">
      <c r="A23" s="140">
        <v>20.0</v>
      </c>
      <c r="B23" s="204">
        <v>45536.0</v>
      </c>
      <c r="C23" s="168" t="s">
        <v>459</v>
      </c>
      <c r="D23" s="168" t="s">
        <v>460</v>
      </c>
      <c r="E23" s="168" t="s">
        <v>455</v>
      </c>
      <c r="F23" s="183">
        <v>1.0</v>
      </c>
      <c r="G23" s="209">
        <v>8700.0</v>
      </c>
    </row>
    <row r="24" ht="18.75" customHeight="1">
      <c r="A24" s="140">
        <v>21.0</v>
      </c>
      <c r="B24" s="204">
        <v>45540.0</v>
      </c>
      <c r="C24" s="168" t="s">
        <v>461</v>
      </c>
      <c r="D24" s="168" t="s">
        <v>437</v>
      </c>
      <c r="E24" s="168" t="s">
        <v>462</v>
      </c>
      <c r="F24" s="183">
        <v>1.0</v>
      </c>
      <c r="G24" s="209">
        <v>2500.0</v>
      </c>
    </row>
    <row r="25" ht="18.75" customHeight="1">
      <c r="A25" s="140">
        <v>22.0</v>
      </c>
      <c r="B25" s="204">
        <v>45540.0</v>
      </c>
      <c r="C25" s="168" t="s">
        <v>463</v>
      </c>
      <c r="D25" s="168" t="s">
        <v>464</v>
      </c>
      <c r="E25" s="168" t="s">
        <v>31</v>
      </c>
      <c r="F25" s="183">
        <v>1.0</v>
      </c>
      <c r="G25" s="209">
        <v>7900.0</v>
      </c>
    </row>
    <row r="26" ht="18.75" customHeight="1">
      <c r="A26" s="140">
        <v>23.0</v>
      </c>
      <c r="B26" s="210">
        <v>45541.0</v>
      </c>
      <c r="C26" s="140" t="s">
        <v>228</v>
      </c>
      <c r="D26" s="140" t="s">
        <v>220</v>
      </c>
      <c r="E26" s="140" t="s">
        <v>452</v>
      </c>
      <c r="F26" s="131">
        <v>1.0</v>
      </c>
      <c r="G26" s="208">
        <v>3500.0</v>
      </c>
    </row>
    <row r="27" ht="18.75" customHeight="1">
      <c r="A27" s="135">
        <v>24.0</v>
      </c>
      <c r="B27" s="210">
        <v>45543.0</v>
      </c>
      <c r="C27" s="140" t="s">
        <v>465</v>
      </c>
      <c r="D27" s="140" t="s">
        <v>91</v>
      </c>
      <c r="E27" s="140" t="s">
        <v>466</v>
      </c>
      <c r="F27" s="131">
        <v>1.0</v>
      </c>
      <c r="G27" s="208">
        <v>3200.0</v>
      </c>
    </row>
    <row r="28" ht="18.75" customHeight="1">
      <c r="A28" s="150"/>
      <c r="B28" s="205"/>
      <c r="C28" s="87"/>
      <c r="D28" s="74"/>
      <c r="E28" s="74"/>
      <c r="F28" s="75"/>
      <c r="G28" s="211"/>
    </row>
    <row r="29" ht="18.75" customHeight="1">
      <c r="A29" s="150"/>
      <c r="B29" s="205"/>
      <c r="C29" s="87"/>
      <c r="D29" s="74"/>
      <c r="E29" s="74"/>
      <c r="F29" s="75"/>
      <c r="G29" s="212">
        <f>SUM(G4:G27)</f>
        <v>107590</v>
      </c>
    </row>
    <row r="30" ht="18.75" customHeight="1">
      <c r="A30" s="150"/>
      <c r="B30" s="205"/>
      <c r="C30" s="87"/>
      <c r="D30" s="74"/>
      <c r="E30" s="74"/>
      <c r="F30" s="75"/>
      <c r="G30" s="206"/>
    </row>
    <row r="31" ht="18.75" customHeight="1">
      <c r="A31" s="72"/>
      <c r="B31" s="73"/>
      <c r="C31" s="87"/>
      <c r="D31" s="74"/>
      <c r="E31" s="74"/>
      <c r="F31" s="75"/>
      <c r="G31" s="7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2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59"/>
      <c r="C223" s="87"/>
      <c r="D223" s="74"/>
      <c r="E223" s="74"/>
      <c r="F223" s="72"/>
      <c r="G223" s="76"/>
    </row>
    <row r="224" ht="15.75" customHeight="1">
      <c r="B224" s="59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467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140">
        <v>1.0</v>
      </c>
      <c r="B4" s="207">
        <v>45544.0</v>
      </c>
      <c r="C4" s="188" t="s">
        <v>409</v>
      </c>
      <c r="D4" s="189" t="s">
        <v>209</v>
      </c>
      <c r="E4" s="190" t="s">
        <v>468</v>
      </c>
      <c r="F4" s="191">
        <v>1.0</v>
      </c>
      <c r="G4" s="208">
        <v>6200.0</v>
      </c>
    </row>
    <row r="5" ht="18.75" customHeight="1">
      <c r="A5" s="140">
        <v>2.0</v>
      </c>
      <c r="B5" s="207">
        <v>45544.0</v>
      </c>
      <c r="C5" s="188" t="s">
        <v>469</v>
      </c>
      <c r="D5" s="193" t="s">
        <v>470</v>
      </c>
      <c r="E5" s="194" t="s">
        <v>57</v>
      </c>
      <c r="F5" s="195">
        <v>1.0</v>
      </c>
      <c r="G5" s="208">
        <v>5700.0</v>
      </c>
    </row>
    <row r="6" ht="18.75" customHeight="1">
      <c r="A6" s="140">
        <v>3.0</v>
      </c>
      <c r="B6" s="207">
        <v>45545.0</v>
      </c>
      <c r="C6" s="188" t="s">
        <v>340</v>
      </c>
      <c r="D6" s="193" t="s">
        <v>471</v>
      </c>
      <c r="E6" s="194" t="s">
        <v>194</v>
      </c>
      <c r="F6" s="195">
        <v>1.0</v>
      </c>
      <c r="G6" s="209">
        <v>6500.0</v>
      </c>
    </row>
    <row r="7" ht="18.75" customHeight="1">
      <c r="A7" s="140">
        <v>4.0</v>
      </c>
      <c r="B7" s="207">
        <v>45547.0</v>
      </c>
      <c r="C7" s="188" t="s">
        <v>472</v>
      </c>
      <c r="D7" s="193" t="s">
        <v>91</v>
      </c>
      <c r="E7" s="194" t="s">
        <v>473</v>
      </c>
      <c r="F7" s="195">
        <v>1.0</v>
      </c>
      <c r="G7" s="209">
        <v>1800.0</v>
      </c>
    </row>
    <row r="8" ht="18.75" customHeight="1">
      <c r="A8" s="140">
        <v>5.0</v>
      </c>
      <c r="B8" s="207">
        <v>45548.0</v>
      </c>
      <c r="C8" s="188" t="s">
        <v>472</v>
      </c>
      <c r="D8" s="193" t="s">
        <v>474</v>
      </c>
      <c r="E8" s="194" t="s">
        <v>134</v>
      </c>
      <c r="F8" s="195">
        <v>1.0</v>
      </c>
      <c r="G8" s="209">
        <v>1520.0</v>
      </c>
    </row>
    <row r="9" ht="18.75" customHeight="1">
      <c r="A9" s="140">
        <v>6.0</v>
      </c>
      <c r="B9" s="207">
        <v>45549.0</v>
      </c>
      <c r="C9" s="188" t="s">
        <v>324</v>
      </c>
      <c r="D9" s="193" t="s">
        <v>454</v>
      </c>
      <c r="E9" s="194" t="s">
        <v>455</v>
      </c>
      <c r="F9" s="195">
        <v>1.0</v>
      </c>
      <c r="G9" s="208">
        <v>1400.0</v>
      </c>
    </row>
    <row r="10" ht="18.75" customHeight="1">
      <c r="A10" s="140">
        <v>7.0</v>
      </c>
      <c r="B10" s="207">
        <v>45552.0</v>
      </c>
      <c r="C10" s="188" t="s">
        <v>475</v>
      </c>
      <c r="D10" s="193" t="s">
        <v>439</v>
      </c>
      <c r="E10" s="194" t="s">
        <v>147</v>
      </c>
      <c r="F10" s="195">
        <v>2.0</v>
      </c>
      <c r="G10" s="208">
        <v>16000.0</v>
      </c>
    </row>
    <row r="11" ht="18.75" customHeight="1">
      <c r="A11" s="140">
        <v>8.0</v>
      </c>
      <c r="B11" s="207">
        <v>45583.0</v>
      </c>
      <c r="C11" s="188" t="s">
        <v>476</v>
      </c>
      <c r="D11" s="193" t="s">
        <v>477</v>
      </c>
      <c r="E11" s="194" t="s">
        <v>61</v>
      </c>
      <c r="F11" s="195">
        <v>2.0</v>
      </c>
      <c r="G11" s="208">
        <v>4800.0</v>
      </c>
    </row>
    <row r="12" ht="18.75" customHeight="1">
      <c r="A12" s="140">
        <v>9.0</v>
      </c>
      <c r="B12" s="207">
        <v>45555.0</v>
      </c>
      <c r="C12" s="188" t="s">
        <v>409</v>
      </c>
      <c r="D12" s="193" t="s">
        <v>27</v>
      </c>
      <c r="E12" s="194" t="s">
        <v>47</v>
      </c>
      <c r="F12" s="195">
        <v>1.0</v>
      </c>
      <c r="G12" s="208">
        <v>6200.0</v>
      </c>
    </row>
    <row r="13" ht="18.75" customHeight="1">
      <c r="A13" s="140">
        <v>10.0</v>
      </c>
      <c r="B13" s="207">
        <v>45556.0</v>
      </c>
      <c r="C13" s="188" t="s">
        <v>478</v>
      </c>
      <c r="D13" s="193" t="s">
        <v>479</v>
      </c>
      <c r="E13" s="194" t="s">
        <v>147</v>
      </c>
      <c r="F13" s="195">
        <v>1.0</v>
      </c>
      <c r="G13" s="208">
        <v>5200.0</v>
      </c>
    </row>
    <row r="14" ht="18.75" customHeight="1">
      <c r="A14" s="140">
        <v>11.0</v>
      </c>
      <c r="B14" s="207">
        <v>45562.0</v>
      </c>
      <c r="C14" s="188" t="s">
        <v>476</v>
      </c>
      <c r="D14" s="193" t="s">
        <v>281</v>
      </c>
      <c r="E14" s="194" t="s">
        <v>57</v>
      </c>
      <c r="F14" s="195">
        <v>2.0</v>
      </c>
      <c r="G14" s="208">
        <v>4800.0</v>
      </c>
    </row>
    <row r="15" ht="18.75" customHeight="1">
      <c r="A15" s="140">
        <v>12.0</v>
      </c>
      <c r="B15" s="207">
        <v>45562.0</v>
      </c>
      <c r="C15" s="188" t="s">
        <v>478</v>
      </c>
      <c r="D15" s="193" t="s">
        <v>480</v>
      </c>
      <c r="E15" s="194" t="s">
        <v>371</v>
      </c>
      <c r="F15" s="195">
        <v>1.0</v>
      </c>
      <c r="G15" s="208">
        <v>5200.0</v>
      </c>
    </row>
    <row r="16" ht="18.75" customHeight="1">
      <c r="A16" s="140">
        <v>13.0</v>
      </c>
      <c r="B16" s="207">
        <v>45563.0</v>
      </c>
      <c r="C16" s="188" t="s">
        <v>481</v>
      </c>
      <c r="D16" s="193" t="s">
        <v>182</v>
      </c>
      <c r="E16" s="194" t="s">
        <v>28</v>
      </c>
      <c r="F16" s="195">
        <v>1.0</v>
      </c>
      <c r="G16" s="208">
        <v>4950.0</v>
      </c>
    </row>
    <row r="17" ht="18.75" customHeight="1">
      <c r="A17" s="140">
        <v>14.0</v>
      </c>
      <c r="B17" s="207">
        <v>45567.0</v>
      </c>
      <c r="C17" s="188" t="s">
        <v>409</v>
      </c>
      <c r="D17" s="193" t="s">
        <v>77</v>
      </c>
      <c r="E17" s="194" t="s">
        <v>31</v>
      </c>
      <c r="F17" s="195">
        <v>1.0</v>
      </c>
      <c r="G17" s="208">
        <v>6200.0</v>
      </c>
    </row>
    <row r="18" ht="18.75" customHeight="1">
      <c r="A18" s="140">
        <v>15.0</v>
      </c>
      <c r="B18" s="207">
        <v>45568.0</v>
      </c>
      <c r="C18" s="188" t="s">
        <v>228</v>
      </c>
      <c r="D18" s="193" t="s">
        <v>220</v>
      </c>
      <c r="E18" s="194" t="s">
        <v>61</v>
      </c>
      <c r="F18" s="195">
        <v>1.0</v>
      </c>
      <c r="G18" s="208">
        <v>3500.0</v>
      </c>
    </row>
    <row r="19" ht="18.75" customHeight="1">
      <c r="A19" s="140">
        <v>16.0</v>
      </c>
      <c r="B19" s="207">
        <v>45569.0</v>
      </c>
      <c r="C19" s="168" t="s">
        <v>482</v>
      </c>
      <c r="D19" s="197" t="s">
        <v>346</v>
      </c>
      <c r="E19" s="198" t="s">
        <v>283</v>
      </c>
      <c r="F19" s="195">
        <v>1.0</v>
      </c>
      <c r="G19" s="209">
        <v>4000.0</v>
      </c>
    </row>
    <row r="20" ht="18.75" customHeight="1">
      <c r="A20" s="140">
        <v>17.0</v>
      </c>
      <c r="B20" s="207">
        <v>45569.0</v>
      </c>
      <c r="C20" s="168" t="s">
        <v>391</v>
      </c>
      <c r="D20" s="197" t="s">
        <v>346</v>
      </c>
      <c r="E20" s="198" t="s">
        <v>93</v>
      </c>
      <c r="F20" s="195">
        <v>1.0</v>
      </c>
      <c r="G20" s="209">
        <v>4200.0</v>
      </c>
    </row>
    <row r="21" ht="18.75" customHeight="1">
      <c r="A21" s="140">
        <v>18.0</v>
      </c>
      <c r="B21" s="207">
        <v>45571.0</v>
      </c>
      <c r="C21" s="168" t="s">
        <v>389</v>
      </c>
      <c r="D21" s="197" t="s">
        <v>483</v>
      </c>
      <c r="E21" s="198" t="s">
        <v>484</v>
      </c>
      <c r="F21" s="195">
        <v>1.0</v>
      </c>
      <c r="G21" s="209">
        <v>6300.0</v>
      </c>
    </row>
    <row r="22" ht="18.75" customHeight="1">
      <c r="A22" s="140">
        <v>19.0</v>
      </c>
      <c r="B22" s="207"/>
      <c r="C22" s="168"/>
      <c r="D22" s="197"/>
      <c r="E22" s="198"/>
      <c r="F22" s="195"/>
      <c r="G22" s="209"/>
    </row>
    <row r="23" ht="18.75" customHeight="1">
      <c r="A23" s="140">
        <v>20.0</v>
      </c>
      <c r="B23" s="204"/>
      <c r="C23" s="168"/>
      <c r="D23" s="168"/>
      <c r="E23" s="168"/>
      <c r="F23" s="183"/>
      <c r="G23" s="209"/>
    </row>
    <row r="24" ht="18.75" customHeight="1">
      <c r="A24" s="140">
        <v>21.0</v>
      </c>
      <c r="B24" s="204"/>
      <c r="C24" s="168"/>
      <c r="D24" s="168"/>
      <c r="E24" s="168"/>
      <c r="F24" s="183"/>
      <c r="G24" s="209"/>
    </row>
    <row r="25" ht="18.75" customHeight="1">
      <c r="A25" s="140">
        <v>22.0</v>
      </c>
      <c r="B25" s="204"/>
      <c r="C25" s="168"/>
      <c r="D25" s="168"/>
      <c r="E25" s="168"/>
      <c r="F25" s="183"/>
      <c r="G25" s="209"/>
    </row>
    <row r="26" ht="18.75" customHeight="1">
      <c r="A26" s="140">
        <v>23.0</v>
      </c>
      <c r="B26" s="210"/>
      <c r="C26" s="140"/>
      <c r="D26" s="140"/>
      <c r="E26" s="140"/>
      <c r="F26" s="131"/>
      <c r="G26" s="208"/>
    </row>
    <row r="27" ht="18.75" customHeight="1">
      <c r="A27" s="135">
        <v>24.0</v>
      </c>
      <c r="B27" s="210"/>
      <c r="C27" s="140"/>
      <c r="D27" s="140"/>
      <c r="E27" s="140"/>
      <c r="F27" s="131"/>
      <c r="G27" s="208"/>
    </row>
    <row r="28" ht="18.75" customHeight="1">
      <c r="A28" s="150"/>
      <c r="B28" s="205"/>
      <c r="C28" s="87"/>
      <c r="D28" s="74"/>
      <c r="E28" s="74"/>
      <c r="F28" s="75"/>
      <c r="G28" s="211"/>
    </row>
    <row r="29" ht="18.75" customHeight="1">
      <c r="A29" s="150"/>
      <c r="B29" s="205"/>
      <c r="C29" s="87"/>
      <c r="D29" s="74"/>
      <c r="E29" s="74"/>
      <c r="F29" s="75"/>
      <c r="G29" s="212">
        <f>SUM(G4:G27)</f>
        <v>94470</v>
      </c>
    </row>
    <row r="30" ht="18.75" customHeight="1">
      <c r="A30" s="150"/>
      <c r="B30" s="205"/>
      <c r="C30" s="87"/>
      <c r="D30" s="74"/>
      <c r="E30" s="74"/>
      <c r="F30" s="75"/>
      <c r="G30" s="206"/>
    </row>
    <row r="31" ht="18.75" customHeight="1">
      <c r="A31" s="72"/>
      <c r="B31" s="73"/>
      <c r="C31" s="87"/>
      <c r="D31" s="74"/>
      <c r="E31" s="74"/>
      <c r="F31" s="75"/>
      <c r="G31" s="7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2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59"/>
      <c r="C223" s="87"/>
      <c r="D223" s="74"/>
      <c r="E223" s="74"/>
      <c r="F223" s="72"/>
      <c r="G223" s="76"/>
    </row>
    <row r="224" ht="15.75" customHeight="1">
      <c r="B224" s="59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485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140">
        <v>1.0</v>
      </c>
      <c r="B4" s="207">
        <v>45574.0</v>
      </c>
      <c r="C4" s="188" t="s">
        <v>486</v>
      </c>
      <c r="D4" s="189" t="s">
        <v>77</v>
      </c>
      <c r="E4" s="190" t="s">
        <v>201</v>
      </c>
      <c r="F4" s="191">
        <v>1.0</v>
      </c>
      <c r="G4" s="208">
        <v>8000.0</v>
      </c>
    </row>
    <row r="5" ht="18.75" customHeight="1">
      <c r="A5" s="140">
        <v>2.0</v>
      </c>
      <c r="B5" s="207">
        <v>45576.0</v>
      </c>
      <c r="C5" s="188" t="s">
        <v>463</v>
      </c>
      <c r="D5" s="193" t="s">
        <v>487</v>
      </c>
      <c r="E5" s="194" t="s">
        <v>194</v>
      </c>
      <c r="F5" s="195">
        <v>1.0</v>
      </c>
      <c r="G5" s="208">
        <v>7900.0</v>
      </c>
    </row>
    <row r="6" ht="18.75" customHeight="1">
      <c r="A6" s="140">
        <v>3.0</v>
      </c>
      <c r="B6" s="207">
        <v>45581.0</v>
      </c>
      <c r="C6" s="188" t="s">
        <v>488</v>
      </c>
      <c r="D6" s="193" t="s">
        <v>489</v>
      </c>
      <c r="E6" s="194" t="s">
        <v>349</v>
      </c>
      <c r="F6" s="195">
        <v>1.0</v>
      </c>
      <c r="G6" s="209">
        <v>1800.0</v>
      </c>
    </row>
    <row r="7" ht="18.75" customHeight="1">
      <c r="A7" s="140">
        <v>4.0</v>
      </c>
      <c r="B7" s="207">
        <v>45583.0</v>
      </c>
      <c r="C7" s="188" t="s">
        <v>490</v>
      </c>
      <c r="D7" s="193" t="s">
        <v>59</v>
      </c>
      <c r="E7" s="194" t="s">
        <v>491</v>
      </c>
      <c r="F7" s="195">
        <v>2.0</v>
      </c>
      <c r="G7" s="209">
        <v>21000.0</v>
      </c>
    </row>
    <row r="8" ht="18.75" customHeight="1">
      <c r="A8" s="140">
        <v>5.0</v>
      </c>
      <c r="B8" s="207">
        <v>45586.0</v>
      </c>
      <c r="C8" s="188" t="s">
        <v>492</v>
      </c>
      <c r="D8" s="193" t="s">
        <v>493</v>
      </c>
      <c r="E8" s="194" t="s">
        <v>23</v>
      </c>
      <c r="F8" s="195">
        <v>1.0</v>
      </c>
      <c r="G8" s="209">
        <v>2800.0</v>
      </c>
    </row>
    <row r="9" ht="18.75" customHeight="1">
      <c r="A9" s="140">
        <v>6.0</v>
      </c>
      <c r="B9" s="207">
        <v>45590.0</v>
      </c>
      <c r="C9" s="188" t="s">
        <v>172</v>
      </c>
      <c r="D9" s="193" t="s">
        <v>244</v>
      </c>
      <c r="E9" s="194" t="s">
        <v>61</v>
      </c>
      <c r="F9" s="195">
        <v>1.0</v>
      </c>
      <c r="G9" s="208">
        <v>3600.0</v>
      </c>
    </row>
    <row r="10" ht="18.75" customHeight="1">
      <c r="A10" s="140">
        <v>7.0</v>
      </c>
      <c r="B10" s="207">
        <v>45593.0</v>
      </c>
      <c r="C10" s="188" t="s">
        <v>494</v>
      </c>
      <c r="D10" s="193" t="s">
        <v>259</v>
      </c>
      <c r="E10" s="194" t="s">
        <v>28</v>
      </c>
      <c r="F10" s="195">
        <v>1.0</v>
      </c>
      <c r="G10" s="208">
        <v>4200.0</v>
      </c>
    </row>
    <row r="11" ht="18.75" customHeight="1">
      <c r="A11" s="140">
        <v>8.0</v>
      </c>
      <c r="B11" s="207">
        <v>45601.0</v>
      </c>
      <c r="C11" s="188" t="s">
        <v>389</v>
      </c>
      <c r="D11" s="193" t="s">
        <v>50</v>
      </c>
      <c r="E11" s="194" t="s">
        <v>171</v>
      </c>
      <c r="F11" s="195">
        <v>1.0</v>
      </c>
      <c r="G11" s="208">
        <v>5800.0</v>
      </c>
    </row>
    <row r="12" ht="18.75" customHeight="1">
      <c r="A12" s="140">
        <v>9.0</v>
      </c>
      <c r="B12" s="213">
        <v>45603.0</v>
      </c>
      <c r="C12" s="188" t="s">
        <v>391</v>
      </c>
      <c r="D12" s="214" t="s">
        <v>495</v>
      </c>
      <c r="E12" s="214" t="s">
        <v>61</v>
      </c>
      <c r="F12" s="195">
        <v>1.0</v>
      </c>
      <c r="G12" s="208">
        <v>4200.0</v>
      </c>
    </row>
    <row r="13" ht="18.75" customHeight="1">
      <c r="A13" s="140">
        <v>10.0</v>
      </c>
      <c r="B13" s="47"/>
      <c r="C13" s="188" t="s">
        <v>432</v>
      </c>
      <c r="D13" s="47"/>
      <c r="E13" s="47"/>
      <c r="F13" s="195">
        <v>1.0</v>
      </c>
      <c r="G13" s="208">
        <v>2800.0</v>
      </c>
    </row>
    <row r="14" ht="18.75" customHeight="1">
      <c r="A14" s="140">
        <v>11.0</v>
      </c>
      <c r="B14" s="207"/>
      <c r="C14" s="188"/>
      <c r="D14" s="193"/>
      <c r="E14" s="194"/>
      <c r="F14" s="195"/>
      <c r="G14" s="208"/>
    </row>
    <row r="15" ht="18.75" customHeight="1">
      <c r="A15" s="140">
        <v>12.0</v>
      </c>
      <c r="B15" s="207"/>
      <c r="C15" s="188"/>
      <c r="D15" s="193"/>
      <c r="E15" s="194"/>
      <c r="F15" s="195"/>
      <c r="G15" s="208"/>
    </row>
    <row r="16" ht="18.75" customHeight="1">
      <c r="A16" s="140">
        <v>13.0</v>
      </c>
      <c r="B16" s="207"/>
      <c r="C16" s="188"/>
      <c r="D16" s="193"/>
      <c r="E16" s="194"/>
      <c r="F16" s="195"/>
      <c r="G16" s="208"/>
    </row>
    <row r="17" ht="18.75" customHeight="1">
      <c r="A17" s="140">
        <v>14.0</v>
      </c>
      <c r="B17" s="207"/>
      <c r="C17" s="188"/>
      <c r="D17" s="193"/>
      <c r="E17" s="194"/>
      <c r="F17" s="195"/>
      <c r="G17" s="208"/>
    </row>
    <row r="18" ht="18.75" customHeight="1">
      <c r="A18" s="140">
        <v>15.0</v>
      </c>
      <c r="B18" s="207"/>
      <c r="C18" s="188"/>
      <c r="D18" s="193"/>
      <c r="E18" s="194"/>
      <c r="F18" s="195"/>
      <c r="G18" s="208"/>
    </row>
    <row r="19" ht="18.75" customHeight="1">
      <c r="A19" s="140">
        <v>16.0</v>
      </c>
      <c r="B19" s="207"/>
      <c r="C19" s="168"/>
      <c r="D19" s="197"/>
      <c r="E19" s="198"/>
      <c r="F19" s="195"/>
      <c r="G19" s="209"/>
    </row>
    <row r="20" ht="18.75" customHeight="1">
      <c r="A20" s="140">
        <v>17.0</v>
      </c>
      <c r="B20" s="207"/>
      <c r="C20" s="168"/>
      <c r="D20" s="197"/>
      <c r="E20" s="198"/>
      <c r="F20" s="195"/>
      <c r="G20" s="209"/>
    </row>
    <row r="21" ht="18.75" customHeight="1">
      <c r="A21" s="140">
        <v>18.0</v>
      </c>
      <c r="B21" s="207"/>
      <c r="C21" s="168"/>
      <c r="D21" s="197"/>
      <c r="E21" s="198"/>
      <c r="F21" s="195"/>
      <c r="G21" s="209"/>
    </row>
    <row r="22" ht="18.75" customHeight="1">
      <c r="A22" s="140">
        <v>19.0</v>
      </c>
      <c r="B22" s="207"/>
      <c r="C22" s="168"/>
      <c r="D22" s="197"/>
      <c r="E22" s="198"/>
      <c r="F22" s="195"/>
      <c r="G22" s="209"/>
    </row>
    <row r="23" ht="18.75" customHeight="1">
      <c r="A23" s="140">
        <v>20.0</v>
      </c>
      <c r="B23" s="204"/>
      <c r="C23" s="168"/>
      <c r="D23" s="168"/>
      <c r="E23" s="168"/>
      <c r="F23" s="183"/>
      <c r="G23" s="209"/>
    </row>
    <row r="24" ht="18.75" customHeight="1">
      <c r="A24" s="140">
        <v>21.0</v>
      </c>
      <c r="B24" s="204"/>
      <c r="C24" s="168"/>
      <c r="D24" s="168"/>
      <c r="E24" s="168"/>
      <c r="F24" s="183"/>
      <c r="G24" s="209"/>
    </row>
    <row r="25" ht="18.75" customHeight="1">
      <c r="A25" s="140">
        <v>22.0</v>
      </c>
      <c r="B25" s="204"/>
      <c r="C25" s="168"/>
      <c r="D25" s="168"/>
      <c r="E25" s="168"/>
      <c r="F25" s="183"/>
      <c r="G25" s="209"/>
    </row>
    <row r="26" ht="18.75" customHeight="1">
      <c r="A26" s="140">
        <v>23.0</v>
      </c>
      <c r="B26" s="210"/>
      <c r="C26" s="140"/>
      <c r="D26" s="140"/>
      <c r="E26" s="140"/>
      <c r="F26" s="131"/>
      <c r="G26" s="208"/>
    </row>
    <row r="27" ht="18.75" customHeight="1">
      <c r="A27" s="135">
        <v>24.0</v>
      </c>
      <c r="B27" s="210"/>
      <c r="C27" s="140"/>
      <c r="D27" s="140"/>
      <c r="E27" s="140"/>
      <c r="F27" s="131"/>
      <c r="G27" s="208"/>
    </row>
    <row r="28" ht="18.75" customHeight="1">
      <c r="A28" s="150"/>
      <c r="B28" s="205"/>
      <c r="C28" s="87"/>
      <c r="D28" s="74"/>
      <c r="E28" s="74"/>
      <c r="F28" s="75"/>
      <c r="G28" s="211"/>
    </row>
    <row r="29" ht="18.75" customHeight="1">
      <c r="A29" s="150"/>
      <c r="B29" s="205"/>
      <c r="C29" s="87"/>
      <c r="D29" s="74"/>
      <c r="E29" s="74"/>
      <c r="F29" s="75"/>
      <c r="G29" s="212">
        <f>SUM(G4:G27)</f>
        <v>62100</v>
      </c>
    </row>
    <row r="30" ht="18.75" customHeight="1">
      <c r="A30" s="150"/>
      <c r="B30" s="205"/>
      <c r="C30" s="87"/>
      <c r="D30" s="74"/>
      <c r="E30" s="74"/>
      <c r="F30" s="75"/>
      <c r="G30" s="206"/>
    </row>
    <row r="31" ht="18.75" customHeight="1">
      <c r="A31" s="72"/>
      <c r="B31" s="73"/>
      <c r="C31" s="87"/>
      <c r="D31" s="74"/>
      <c r="E31" s="74"/>
      <c r="F31" s="75"/>
      <c r="G31" s="7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2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59"/>
      <c r="C223" s="87"/>
      <c r="D223" s="74"/>
      <c r="E223" s="74"/>
      <c r="F223" s="72"/>
      <c r="G223" s="76"/>
    </row>
    <row r="224" ht="15.75" customHeight="1">
      <c r="B224" s="59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G2"/>
    <mergeCell ref="B12:B13"/>
    <mergeCell ref="D12:D13"/>
    <mergeCell ref="E12:E13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496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140">
        <v>1.0</v>
      </c>
      <c r="B4" s="207">
        <v>45606.0</v>
      </c>
      <c r="C4" s="188" t="s">
        <v>172</v>
      </c>
      <c r="D4" s="189" t="s">
        <v>87</v>
      </c>
      <c r="E4" s="190" t="s">
        <v>61</v>
      </c>
      <c r="F4" s="191">
        <v>1.0</v>
      </c>
      <c r="G4" s="208">
        <v>3600.0</v>
      </c>
    </row>
    <row r="5" ht="18.75" customHeight="1">
      <c r="A5" s="140">
        <v>2.0</v>
      </c>
      <c r="B5" s="207">
        <v>45607.0</v>
      </c>
      <c r="C5" s="188" t="s">
        <v>478</v>
      </c>
      <c r="D5" s="193" t="s">
        <v>100</v>
      </c>
      <c r="E5" s="194" t="s">
        <v>497</v>
      </c>
      <c r="F5" s="195">
        <v>1.0</v>
      </c>
      <c r="G5" s="208">
        <v>5200.0</v>
      </c>
    </row>
    <row r="6" ht="18.75" customHeight="1">
      <c r="A6" s="140">
        <v>3.0</v>
      </c>
      <c r="B6" s="207">
        <v>45607.0</v>
      </c>
      <c r="C6" s="188" t="s">
        <v>389</v>
      </c>
      <c r="D6" s="193" t="s">
        <v>498</v>
      </c>
      <c r="E6" s="194" t="s">
        <v>484</v>
      </c>
      <c r="F6" s="195">
        <v>1.0</v>
      </c>
      <c r="G6" s="209">
        <v>6000.0</v>
      </c>
    </row>
    <row r="7" ht="18.75" customHeight="1">
      <c r="A7" s="140">
        <v>4.0</v>
      </c>
      <c r="B7" s="207">
        <v>45614.0</v>
      </c>
      <c r="C7" s="188" t="s">
        <v>169</v>
      </c>
      <c r="D7" s="193" t="s">
        <v>94</v>
      </c>
      <c r="E7" s="194" t="s">
        <v>499</v>
      </c>
      <c r="F7" s="195">
        <v>1.0</v>
      </c>
      <c r="G7" s="209">
        <v>8500.0</v>
      </c>
    </row>
    <row r="8" ht="18.75" customHeight="1">
      <c r="A8" s="140">
        <v>5.0</v>
      </c>
      <c r="B8" s="207">
        <v>45615.0</v>
      </c>
      <c r="C8" s="188" t="s">
        <v>429</v>
      </c>
      <c r="D8" s="193" t="s">
        <v>430</v>
      </c>
      <c r="E8" s="194" t="s">
        <v>500</v>
      </c>
      <c r="F8" s="195">
        <v>1.0</v>
      </c>
      <c r="G8" s="209">
        <v>1800.0</v>
      </c>
    </row>
    <row r="9" ht="18.75" customHeight="1">
      <c r="A9" s="140">
        <v>6.0</v>
      </c>
      <c r="B9" s="207">
        <v>45619.0</v>
      </c>
      <c r="C9" s="188" t="s">
        <v>501</v>
      </c>
      <c r="D9" s="193" t="s">
        <v>140</v>
      </c>
      <c r="E9" s="194" t="s">
        <v>61</v>
      </c>
      <c r="F9" s="195">
        <v>1.0</v>
      </c>
      <c r="G9" s="208">
        <v>7500.0</v>
      </c>
    </row>
    <row r="10" ht="18.75" customHeight="1">
      <c r="A10" s="140">
        <v>7.0</v>
      </c>
      <c r="B10" s="215">
        <v>45621.0</v>
      </c>
      <c r="C10" s="188" t="s">
        <v>502</v>
      </c>
      <c r="D10" s="216" t="s">
        <v>281</v>
      </c>
      <c r="E10" s="216" t="s">
        <v>311</v>
      </c>
      <c r="F10" s="195">
        <v>3.0</v>
      </c>
      <c r="G10" s="208">
        <v>20250.0</v>
      </c>
    </row>
    <row r="11" ht="18.75" customHeight="1">
      <c r="A11" s="140">
        <v>8.0</v>
      </c>
      <c r="B11" s="38"/>
      <c r="C11" s="188" t="s">
        <v>426</v>
      </c>
      <c r="D11" s="38"/>
      <c r="E11" s="38"/>
      <c r="F11" s="195">
        <v>1.0</v>
      </c>
      <c r="G11" s="208">
        <v>2200.0</v>
      </c>
    </row>
    <row r="12" ht="18.75" customHeight="1">
      <c r="A12" s="140">
        <v>9.0</v>
      </c>
      <c r="B12" s="47"/>
      <c r="C12" s="188" t="s">
        <v>391</v>
      </c>
      <c r="D12" s="47"/>
      <c r="E12" s="47"/>
      <c r="F12" s="195">
        <v>1.0</v>
      </c>
      <c r="G12" s="208">
        <v>4200.0</v>
      </c>
    </row>
    <row r="13" ht="18.75" customHeight="1">
      <c r="A13" s="140">
        <v>10.0</v>
      </c>
      <c r="B13" s="207">
        <v>45627.0</v>
      </c>
      <c r="C13" s="188" t="s">
        <v>389</v>
      </c>
      <c r="D13" s="217" t="s">
        <v>503</v>
      </c>
      <c r="E13" s="217" t="s">
        <v>47</v>
      </c>
      <c r="F13" s="195">
        <v>1.0</v>
      </c>
      <c r="G13" s="208">
        <v>5400.0</v>
      </c>
    </row>
    <row r="14" ht="18.75" customHeight="1">
      <c r="A14" s="140">
        <v>11.0</v>
      </c>
      <c r="B14" s="207">
        <v>45630.0</v>
      </c>
      <c r="C14" s="188" t="s">
        <v>429</v>
      </c>
      <c r="D14" s="193" t="s">
        <v>64</v>
      </c>
      <c r="E14" s="194" t="s">
        <v>504</v>
      </c>
      <c r="F14" s="195">
        <v>1.0</v>
      </c>
      <c r="G14" s="208">
        <v>1800.0</v>
      </c>
    </row>
    <row r="15" ht="18.75" customHeight="1">
      <c r="A15" s="140">
        <v>12.0</v>
      </c>
      <c r="B15" s="207">
        <v>45631.0</v>
      </c>
      <c r="C15" s="188" t="s">
        <v>505</v>
      </c>
      <c r="D15" s="193" t="s">
        <v>506</v>
      </c>
      <c r="E15" s="194" t="s">
        <v>298</v>
      </c>
      <c r="F15" s="195">
        <v>1.0</v>
      </c>
      <c r="G15" s="208">
        <v>5400.0</v>
      </c>
    </row>
    <row r="16" ht="18.75" customHeight="1">
      <c r="A16" s="140">
        <v>13.0</v>
      </c>
      <c r="B16" s="207">
        <v>45633.0</v>
      </c>
      <c r="C16" s="188" t="s">
        <v>172</v>
      </c>
      <c r="D16" s="193" t="s">
        <v>507</v>
      </c>
      <c r="E16" s="194" t="s">
        <v>61</v>
      </c>
      <c r="F16" s="195">
        <v>1.0</v>
      </c>
      <c r="G16" s="208">
        <v>4000.0</v>
      </c>
    </row>
    <row r="17" ht="18.75" customHeight="1">
      <c r="A17" s="140">
        <v>14.0</v>
      </c>
      <c r="B17" s="207">
        <v>45633.0</v>
      </c>
      <c r="C17" s="188" t="s">
        <v>363</v>
      </c>
      <c r="D17" s="193" t="s">
        <v>341</v>
      </c>
      <c r="E17" s="194" t="s">
        <v>28</v>
      </c>
      <c r="F17" s="195">
        <v>1.0</v>
      </c>
      <c r="G17" s="208">
        <v>5850.0</v>
      </c>
    </row>
    <row r="18" ht="18.75" customHeight="1">
      <c r="A18" s="140">
        <v>15.0</v>
      </c>
      <c r="B18" s="207">
        <v>45606.0</v>
      </c>
      <c r="C18" s="188" t="s">
        <v>172</v>
      </c>
      <c r="D18" s="193" t="s">
        <v>508</v>
      </c>
      <c r="E18" s="194" t="s">
        <v>509</v>
      </c>
      <c r="F18" s="195">
        <v>1.0</v>
      </c>
      <c r="G18" s="208">
        <v>3600.0</v>
      </c>
    </row>
    <row r="19" ht="18.75" customHeight="1">
      <c r="A19" s="140">
        <v>16.0</v>
      </c>
      <c r="B19" s="207"/>
      <c r="C19" s="168" t="s">
        <v>169</v>
      </c>
      <c r="D19" s="197"/>
      <c r="E19" s="198"/>
      <c r="F19" s="195"/>
      <c r="G19" s="209">
        <v>11250.0</v>
      </c>
    </row>
    <row r="20" ht="18.75" customHeight="1">
      <c r="A20" s="140"/>
      <c r="B20" s="218">
        <v>45626.0</v>
      </c>
      <c r="C20" s="168" t="s">
        <v>510</v>
      </c>
      <c r="D20" s="219" t="s">
        <v>511</v>
      </c>
      <c r="E20" s="220" t="s">
        <v>512</v>
      </c>
      <c r="F20" s="221">
        <v>1.0</v>
      </c>
      <c r="G20" s="209">
        <v>2200.0</v>
      </c>
    </row>
    <row r="21" ht="18.75" customHeight="1">
      <c r="A21" s="140">
        <v>17.0</v>
      </c>
      <c r="B21" s="47"/>
      <c r="C21" s="168" t="s">
        <v>513</v>
      </c>
      <c r="D21" s="47"/>
      <c r="E21" s="47"/>
      <c r="F21" s="47"/>
      <c r="G21" s="209">
        <v>5100.0</v>
      </c>
    </row>
    <row r="22" ht="18.75" customHeight="1">
      <c r="A22" s="140">
        <v>18.0</v>
      </c>
      <c r="B22" s="207">
        <v>45610.0</v>
      </c>
      <c r="C22" s="168" t="s">
        <v>243</v>
      </c>
      <c r="D22" s="197" t="s">
        <v>514</v>
      </c>
      <c r="E22" s="198" t="s">
        <v>106</v>
      </c>
      <c r="F22" s="195">
        <v>1.0</v>
      </c>
      <c r="G22" s="209">
        <v>6450.0</v>
      </c>
    </row>
    <row r="23" ht="18.75" customHeight="1">
      <c r="A23" s="140">
        <v>19.0</v>
      </c>
      <c r="B23" s="207">
        <v>45631.0</v>
      </c>
      <c r="C23" s="168" t="s">
        <v>429</v>
      </c>
      <c r="D23" s="197" t="s">
        <v>515</v>
      </c>
      <c r="E23" s="198" t="s">
        <v>512</v>
      </c>
      <c r="F23" s="195">
        <v>1.0</v>
      </c>
      <c r="G23" s="209">
        <v>1800.0</v>
      </c>
    </row>
    <row r="24" ht="18.75" customHeight="1">
      <c r="A24" s="140">
        <v>20.0</v>
      </c>
      <c r="B24" s="204"/>
      <c r="C24" s="168"/>
      <c r="D24" s="168"/>
      <c r="E24" s="168"/>
      <c r="F24" s="183"/>
      <c r="G24" s="209"/>
    </row>
    <row r="25" ht="18.75" customHeight="1">
      <c r="A25" s="140">
        <v>21.0</v>
      </c>
      <c r="B25" s="204"/>
      <c r="C25" s="168"/>
      <c r="D25" s="168"/>
      <c r="E25" s="168"/>
      <c r="F25" s="183"/>
      <c r="G25" s="209"/>
    </row>
    <row r="26" ht="18.75" customHeight="1">
      <c r="A26" s="140">
        <v>22.0</v>
      </c>
      <c r="B26" s="204"/>
      <c r="C26" s="168"/>
      <c r="D26" s="168"/>
      <c r="E26" s="168"/>
      <c r="F26" s="183"/>
      <c r="G26" s="209"/>
    </row>
    <row r="27" ht="18.75" customHeight="1">
      <c r="A27" s="140">
        <v>23.0</v>
      </c>
      <c r="B27" s="210"/>
      <c r="C27" s="140"/>
      <c r="D27" s="140"/>
      <c r="E27" s="140"/>
      <c r="F27" s="131"/>
      <c r="G27" s="208"/>
    </row>
    <row r="28" ht="18.75" customHeight="1">
      <c r="A28" s="135">
        <v>24.0</v>
      </c>
      <c r="B28" s="210"/>
      <c r="C28" s="140"/>
      <c r="D28" s="140"/>
      <c r="E28" s="140"/>
      <c r="F28" s="131"/>
      <c r="G28" s="208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112100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G2"/>
    <mergeCell ref="B10:B12"/>
    <mergeCell ref="D10:D12"/>
    <mergeCell ref="E10:E12"/>
    <mergeCell ref="B20:B21"/>
    <mergeCell ref="D20:D21"/>
    <mergeCell ref="E20:E21"/>
    <mergeCell ref="F20:F2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516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120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>
        <v>1.0</v>
      </c>
      <c r="B4" s="210">
        <v>45638.0</v>
      </c>
      <c r="C4" s="86" t="s">
        <v>472</v>
      </c>
      <c r="D4" s="86" t="s">
        <v>517</v>
      </c>
      <c r="E4" s="86" t="s">
        <v>512</v>
      </c>
      <c r="F4" s="222">
        <v>1.0</v>
      </c>
      <c r="G4" s="223">
        <v>1620.0</v>
      </c>
    </row>
    <row r="5" ht="18.75" customHeight="1">
      <c r="A5" s="86">
        <v>2.0</v>
      </c>
      <c r="B5" s="210">
        <v>45640.0</v>
      </c>
      <c r="C5" s="86" t="s">
        <v>472</v>
      </c>
      <c r="D5" s="86" t="s">
        <v>518</v>
      </c>
      <c r="E5" s="86" t="s">
        <v>519</v>
      </c>
      <c r="F5" s="222">
        <v>1.0</v>
      </c>
      <c r="G5" s="223">
        <v>1800.0</v>
      </c>
    </row>
    <row r="6" ht="18.75" customHeight="1">
      <c r="A6" s="86">
        <v>3.0</v>
      </c>
      <c r="B6" s="210">
        <v>45640.0</v>
      </c>
      <c r="C6" s="86" t="s">
        <v>478</v>
      </c>
      <c r="D6" s="86" t="s">
        <v>370</v>
      </c>
      <c r="E6" s="86" t="s">
        <v>78</v>
      </c>
      <c r="F6" s="222">
        <v>1.0</v>
      </c>
      <c r="G6" s="223">
        <v>5500.0</v>
      </c>
    </row>
    <row r="7" ht="18.75" customHeight="1">
      <c r="A7" s="86">
        <v>4.0</v>
      </c>
      <c r="B7" s="210">
        <v>45641.0</v>
      </c>
      <c r="C7" s="86" t="s">
        <v>472</v>
      </c>
      <c r="D7" s="86" t="s">
        <v>520</v>
      </c>
      <c r="E7" s="86" t="s">
        <v>512</v>
      </c>
      <c r="F7" s="222">
        <v>1.0</v>
      </c>
      <c r="G7" s="223">
        <v>1620.0</v>
      </c>
    </row>
    <row r="8" ht="18.75" customHeight="1">
      <c r="A8" s="86">
        <v>5.0</v>
      </c>
      <c r="B8" s="210">
        <v>45644.0</v>
      </c>
      <c r="C8" s="86" t="s">
        <v>438</v>
      </c>
      <c r="D8" s="86" t="s">
        <v>354</v>
      </c>
      <c r="E8" s="86" t="s">
        <v>150</v>
      </c>
      <c r="F8" s="222">
        <v>1.0</v>
      </c>
      <c r="G8" s="223">
        <v>1800.0</v>
      </c>
    </row>
    <row r="9" ht="18.75" customHeight="1">
      <c r="A9" s="86">
        <v>6.0</v>
      </c>
      <c r="B9" s="210">
        <v>45645.0</v>
      </c>
      <c r="C9" s="86" t="s">
        <v>472</v>
      </c>
      <c r="D9" s="86" t="s">
        <v>521</v>
      </c>
      <c r="E9" s="86" t="s">
        <v>473</v>
      </c>
      <c r="F9" s="222">
        <v>1.0</v>
      </c>
      <c r="G9" s="223">
        <v>1800.0</v>
      </c>
    </row>
    <row r="10" ht="18.75" customHeight="1">
      <c r="A10" s="86">
        <v>7.0</v>
      </c>
      <c r="B10" s="210">
        <v>45646.0</v>
      </c>
      <c r="C10" s="86" t="s">
        <v>522</v>
      </c>
      <c r="D10" s="86" t="s">
        <v>523</v>
      </c>
      <c r="E10" s="86" t="s">
        <v>524</v>
      </c>
      <c r="F10" s="222">
        <v>1.0</v>
      </c>
      <c r="G10" s="223">
        <v>4200.0</v>
      </c>
    </row>
    <row r="11" ht="18.75" customHeight="1">
      <c r="A11" s="86">
        <v>8.0</v>
      </c>
      <c r="B11" s="210">
        <v>45646.0</v>
      </c>
      <c r="C11" s="86" t="s">
        <v>472</v>
      </c>
      <c r="D11" s="86" t="s">
        <v>342</v>
      </c>
      <c r="E11" s="86" t="s">
        <v>156</v>
      </c>
      <c r="F11" s="222">
        <v>1.0</v>
      </c>
      <c r="G11" s="223">
        <v>1800.0</v>
      </c>
    </row>
    <row r="12" ht="18.75" customHeight="1">
      <c r="A12" s="86">
        <v>9.0</v>
      </c>
      <c r="B12" s="210">
        <v>45649.0</v>
      </c>
      <c r="C12" s="86" t="s">
        <v>525</v>
      </c>
      <c r="D12" s="86" t="s">
        <v>223</v>
      </c>
      <c r="E12" s="86" t="s">
        <v>61</v>
      </c>
      <c r="F12" s="222">
        <v>1.0</v>
      </c>
      <c r="G12" s="223">
        <v>9450.0</v>
      </c>
    </row>
    <row r="13" ht="18.75" customHeight="1">
      <c r="A13" s="86">
        <v>10.0</v>
      </c>
      <c r="B13" s="224">
        <v>45653.0</v>
      </c>
      <c r="C13" s="86" t="s">
        <v>385</v>
      </c>
      <c r="D13" s="135" t="s">
        <v>62</v>
      </c>
      <c r="E13" s="135" t="s">
        <v>512</v>
      </c>
      <c r="F13" s="222">
        <v>1.0</v>
      </c>
      <c r="G13" s="223">
        <v>5400.0</v>
      </c>
    </row>
    <row r="14" ht="18.75" customHeight="1">
      <c r="A14" s="86">
        <v>11.0</v>
      </c>
      <c r="B14" s="47"/>
      <c r="C14" s="86" t="s">
        <v>526</v>
      </c>
      <c r="D14" s="47"/>
      <c r="E14" s="47"/>
      <c r="F14" s="222">
        <v>1.0</v>
      </c>
      <c r="G14" s="223">
        <v>1800.0</v>
      </c>
    </row>
    <row r="15" ht="18.75" customHeight="1">
      <c r="A15" s="86">
        <v>12.0</v>
      </c>
      <c r="B15" s="210">
        <v>45655.0</v>
      </c>
      <c r="C15" s="86" t="s">
        <v>522</v>
      </c>
      <c r="D15" s="86" t="s">
        <v>100</v>
      </c>
      <c r="E15" s="86" t="s">
        <v>527</v>
      </c>
      <c r="F15" s="222">
        <v>1.0</v>
      </c>
      <c r="G15" s="223">
        <v>4200.0</v>
      </c>
    </row>
    <row r="16" ht="18.75" customHeight="1">
      <c r="A16" s="86">
        <v>13.0</v>
      </c>
      <c r="B16" s="224">
        <v>45656.0</v>
      </c>
      <c r="C16" s="86" t="s">
        <v>438</v>
      </c>
      <c r="D16" s="135" t="s">
        <v>318</v>
      </c>
      <c r="E16" s="135" t="s">
        <v>47</v>
      </c>
      <c r="F16" s="222">
        <v>1.0</v>
      </c>
      <c r="G16" s="223">
        <v>6200.0</v>
      </c>
    </row>
    <row r="17" ht="18.75" customHeight="1">
      <c r="A17" s="86">
        <v>14.0</v>
      </c>
      <c r="B17" s="47"/>
      <c r="C17" s="86" t="s">
        <v>472</v>
      </c>
      <c r="D17" s="47"/>
      <c r="E17" s="47"/>
      <c r="F17" s="222">
        <v>1.0</v>
      </c>
      <c r="G17" s="223">
        <v>1800.0</v>
      </c>
    </row>
    <row r="18" ht="18.75" customHeight="1">
      <c r="A18" s="86">
        <v>15.0</v>
      </c>
      <c r="B18" s="210">
        <v>45657.0</v>
      </c>
      <c r="C18" s="86" t="s">
        <v>426</v>
      </c>
      <c r="D18" s="86" t="s">
        <v>36</v>
      </c>
      <c r="E18" s="86" t="s">
        <v>512</v>
      </c>
      <c r="F18" s="222">
        <v>1.0</v>
      </c>
      <c r="G18" s="223">
        <v>2250.0</v>
      </c>
    </row>
    <row r="19" ht="18.75" customHeight="1">
      <c r="A19" s="86">
        <v>16.0</v>
      </c>
      <c r="B19" s="210">
        <v>45657.0</v>
      </c>
      <c r="C19" s="86" t="s">
        <v>522</v>
      </c>
      <c r="D19" s="86" t="s">
        <v>267</v>
      </c>
      <c r="E19" s="86" t="s">
        <v>28</v>
      </c>
      <c r="F19" s="222">
        <v>1.0</v>
      </c>
      <c r="G19" s="223">
        <v>4200.0</v>
      </c>
    </row>
    <row r="20" ht="18.75" customHeight="1">
      <c r="A20" s="86">
        <v>17.0</v>
      </c>
      <c r="B20" s="210">
        <v>45660.0</v>
      </c>
      <c r="C20" s="86" t="s">
        <v>528</v>
      </c>
      <c r="D20" s="86" t="s">
        <v>529</v>
      </c>
      <c r="E20" s="86" t="s">
        <v>171</v>
      </c>
      <c r="F20" s="222">
        <v>1.0</v>
      </c>
      <c r="G20" s="223">
        <v>3000.0</v>
      </c>
    </row>
    <row r="21" ht="18.75" customHeight="1">
      <c r="A21" s="86">
        <v>18.0</v>
      </c>
      <c r="B21" s="210">
        <v>45661.0</v>
      </c>
      <c r="C21" s="86" t="s">
        <v>363</v>
      </c>
      <c r="D21" s="86" t="s">
        <v>530</v>
      </c>
      <c r="E21" s="86" t="s">
        <v>134</v>
      </c>
      <c r="F21" s="222">
        <v>1.0</v>
      </c>
      <c r="G21" s="223">
        <v>5850.0</v>
      </c>
    </row>
    <row r="22" ht="18.75" customHeight="1">
      <c r="A22" s="86">
        <v>19.0</v>
      </c>
      <c r="B22" s="210">
        <v>45663.0</v>
      </c>
      <c r="C22" s="86" t="s">
        <v>472</v>
      </c>
      <c r="D22" s="86" t="s">
        <v>267</v>
      </c>
      <c r="E22" s="86" t="s">
        <v>512</v>
      </c>
      <c r="F22" s="222">
        <v>1.0</v>
      </c>
      <c r="G22" s="223">
        <v>1620.0</v>
      </c>
    </row>
    <row r="23" ht="18.75" customHeight="1">
      <c r="A23" s="86">
        <v>20.0</v>
      </c>
      <c r="B23" s="210">
        <v>45664.0</v>
      </c>
      <c r="C23" s="86" t="s">
        <v>472</v>
      </c>
      <c r="D23" s="86" t="s">
        <v>46</v>
      </c>
      <c r="E23" s="86" t="s">
        <v>28</v>
      </c>
      <c r="F23" s="222">
        <v>1.0</v>
      </c>
      <c r="G23" s="223">
        <v>1800.0</v>
      </c>
    </row>
    <row r="24" ht="18.75" customHeight="1">
      <c r="A24" s="86">
        <v>21.0</v>
      </c>
      <c r="B24" s="210"/>
      <c r="C24" s="86"/>
      <c r="D24" s="86"/>
      <c r="E24" s="86"/>
      <c r="F24" s="222"/>
      <c r="G24" s="223"/>
    </row>
    <row r="25" ht="18.75" customHeight="1">
      <c r="A25" s="86">
        <v>22.0</v>
      </c>
      <c r="B25" s="210"/>
      <c r="C25" s="86"/>
      <c r="D25" s="86"/>
      <c r="E25" s="86"/>
      <c r="F25" s="222"/>
      <c r="G25" s="223"/>
    </row>
    <row r="26" ht="18.75" customHeight="1">
      <c r="A26" s="86">
        <v>23.0</v>
      </c>
      <c r="B26" s="210"/>
      <c r="C26" s="86"/>
      <c r="D26" s="86"/>
      <c r="E26" s="86"/>
      <c r="F26" s="222"/>
      <c r="G26" s="223"/>
    </row>
    <row r="27" ht="18.75" customHeight="1">
      <c r="A27" s="86">
        <v>24.0</v>
      </c>
      <c r="B27" s="210"/>
      <c r="C27" s="86"/>
      <c r="D27" s="86"/>
      <c r="E27" s="86"/>
      <c r="F27" s="222"/>
      <c r="G27" s="223"/>
    </row>
    <row r="28" ht="18.75" customHeight="1">
      <c r="A28" s="86">
        <v>25.0</v>
      </c>
      <c r="B28" s="210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67710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>
      <c r="B231" s="59"/>
    </row>
    <row r="232" ht="14.25" customHeight="1">
      <c r="B232" s="59"/>
    </row>
    <row r="233" ht="14.25" customHeight="1">
      <c r="B233" s="59"/>
    </row>
    <row r="234" ht="14.25" customHeight="1">
      <c r="B234" s="59"/>
    </row>
    <row r="235" ht="14.25" customHeight="1">
      <c r="B235" s="59"/>
    </row>
    <row r="236" ht="14.25" customHeight="1">
      <c r="B236" s="59"/>
    </row>
    <row r="237" ht="14.25" customHeight="1">
      <c r="B237" s="59"/>
    </row>
    <row r="238" ht="14.25" customHeight="1">
      <c r="B238" s="59"/>
    </row>
    <row r="239" ht="14.25" customHeight="1">
      <c r="B239" s="59"/>
    </row>
    <row r="240" ht="14.25" customHeight="1">
      <c r="B240" s="59"/>
    </row>
    <row r="241" ht="14.25" customHeight="1">
      <c r="B241" s="59"/>
    </row>
    <row r="242" ht="14.25" customHeight="1">
      <c r="B242" s="59"/>
    </row>
    <row r="243" ht="14.25" customHeight="1">
      <c r="B243" s="59"/>
    </row>
    <row r="244" ht="14.25" customHeight="1">
      <c r="B244" s="59"/>
    </row>
    <row r="245" ht="14.25" customHeight="1">
      <c r="B245" s="59"/>
    </row>
    <row r="246" ht="14.25" customHeight="1">
      <c r="B246" s="59"/>
    </row>
    <row r="247" ht="14.25" customHeight="1">
      <c r="B247" s="59"/>
    </row>
    <row r="248" ht="14.25" customHeight="1">
      <c r="B248" s="59"/>
    </row>
    <row r="249" ht="14.25" customHeight="1">
      <c r="B249" s="59"/>
    </row>
    <row r="250" ht="14.25" customHeight="1">
      <c r="B250" s="59"/>
    </row>
    <row r="251" ht="14.25" customHeight="1">
      <c r="B251" s="59"/>
    </row>
    <row r="252" ht="14.25" customHeight="1">
      <c r="B252" s="59"/>
    </row>
    <row r="253" ht="14.25" customHeight="1">
      <c r="B253" s="59"/>
    </row>
    <row r="254" ht="14.25" customHeight="1">
      <c r="B254" s="59"/>
    </row>
    <row r="255" ht="14.25" customHeight="1">
      <c r="B255" s="59"/>
    </row>
    <row r="256" ht="14.25" customHeight="1">
      <c r="B256" s="59"/>
    </row>
    <row r="257" ht="14.25" customHeight="1">
      <c r="B257" s="59"/>
    </row>
    <row r="258" ht="14.25" customHeight="1">
      <c r="B258" s="59"/>
    </row>
    <row r="259" ht="14.25" customHeight="1">
      <c r="B259" s="59"/>
    </row>
    <row r="260" ht="14.25" customHeight="1">
      <c r="B260" s="59"/>
    </row>
    <row r="261" ht="14.25" customHeight="1">
      <c r="B261" s="59"/>
    </row>
    <row r="262" ht="14.25" customHeight="1">
      <c r="B262" s="59"/>
    </row>
    <row r="263" ht="14.25" customHeight="1">
      <c r="B263" s="59"/>
    </row>
    <row r="264" ht="14.25" customHeight="1">
      <c r="B264" s="59"/>
    </row>
    <row r="265" ht="14.25" customHeight="1">
      <c r="B265" s="59"/>
    </row>
    <row r="266" ht="14.25" customHeight="1">
      <c r="B266" s="59"/>
    </row>
    <row r="267" ht="14.25" customHeight="1">
      <c r="B267" s="59"/>
    </row>
    <row r="268" ht="14.25" customHeight="1">
      <c r="B268" s="59"/>
    </row>
    <row r="269" ht="14.25" customHeight="1">
      <c r="B269" s="59"/>
    </row>
    <row r="270" ht="14.25" customHeight="1">
      <c r="B270" s="59"/>
    </row>
    <row r="271" ht="14.25" customHeight="1">
      <c r="B271" s="59"/>
    </row>
    <row r="272" ht="14.25" customHeight="1">
      <c r="B272" s="59"/>
    </row>
    <row r="273" ht="14.25" customHeight="1">
      <c r="B273" s="59"/>
    </row>
    <row r="274" ht="14.25" customHeight="1">
      <c r="B274" s="59"/>
    </row>
    <row r="275" ht="14.25" customHeight="1">
      <c r="B275" s="59"/>
    </row>
    <row r="276" ht="14.25" customHeight="1">
      <c r="B276" s="59"/>
    </row>
    <row r="277" ht="14.25" customHeight="1">
      <c r="B277" s="59"/>
    </row>
    <row r="278" ht="14.25" customHeight="1">
      <c r="B278" s="59"/>
    </row>
    <row r="279" ht="14.25" customHeight="1">
      <c r="B279" s="59"/>
    </row>
    <row r="280" ht="14.25" customHeight="1">
      <c r="B280" s="59"/>
    </row>
    <row r="281" ht="14.25" customHeight="1">
      <c r="B281" s="59"/>
    </row>
    <row r="282" ht="14.25" customHeight="1">
      <c r="B282" s="59"/>
    </row>
    <row r="283" ht="14.25" customHeight="1">
      <c r="B283" s="59"/>
    </row>
    <row r="284" ht="14.25" customHeight="1">
      <c r="B284" s="59"/>
    </row>
    <row r="285" ht="14.25" customHeight="1">
      <c r="B285" s="59"/>
    </row>
    <row r="286" ht="14.25" customHeight="1">
      <c r="B286" s="59"/>
    </row>
    <row r="287" ht="14.25" customHeight="1">
      <c r="B287" s="59"/>
    </row>
    <row r="288" ht="14.25" customHeight="1">
      <c r="B288" s="59"/>
    </row>
    <row r="289" ht="14.25" customHeight="1">
      <c r="B289" s="59"/>
    </row>
    <row r="290" ht="14.25" customHeight="1">
      <c r="B290" s="59"/>
    </row>
    <row r="291" ht="14.25" customHeight="1">
      <c r="B291" s="59"/>
    </row>
    <row r="292" ht="14.25" customHeight="1">
      <c r="B292" s="59"/>
    </row>
    <row r="293" ht="14.25" customHeight="1">
      <c r="B293" s="59"/>
    </row>
    <row r="294" ht="14.25" customHeight="1">
      <c r="B294" s="59"/>
    </row>
    <row r="295" ht="14.25" customHeight="1">
      <c r="B295" s="59"/>
    </row>
    <row r="296" ht="14.25" customHeight="1">
      <c r="B296" s="59"/>
    </row>
    <row r="297" ht="14.25" customHeight="1">
      <c r="B297" s="59"/>
    </row>
    <row r="298" ht="14.25" customHeight="1">
      <c r="B298" s="59"/>
    </row>
    <row r="299" ht="14.25" customHeight="1">
      <c r="B299" s="59"/>
    </row>
    <row r="300" ht="14.25" customHeight="1">
      <c r="B300" s="59"/>
    </row>
    <row r="301" ht="14.25" customHeight="1">
      <c r="B301" s="59"/>
    </row>
    <row r="302" ht="14.25" customHeight="1">
      <c r="B302" s="59"/>
    </row>
    <row r="303" ht="14.25" customHeight="1">
      <c r="B303" s="59"/>
    </row>
    <row r="304" ht="14.25" customHeight="1">
      <c r="B304" s="59"/>
    </row>
    <row r="305" ht="14.25" customHeight="1">
      <c r="B305" s="59"/>
    </row>
    <row r="306" ht="14.25" customHeight="1">
      <c r="B306" s="59"/>
    </row>
    <row r="307" ht="14.25" customHeight="1">
      <c r="B307" s="59"/>
    </row>
    <row r="308" ht="14.25" customHeight="1">
      <c r="B308" s="59"/>
    </row>
    <row r="309" ht="14.25" customHeight="1">
      <c r="B309" s="59"/>
    </row>
    <row r="310" ht="14.25" customHeight="1">
      <c r="B310" s="59"/>
    </row>
    <row r="311" ht="14.25" customHeight="1">
      <c r="B311" s="59"/>
    </row>
    <row r="312" ht="14.25" customHeight="1">
      <c r="B312" s="59"/>
    </row>
    <row r="313" ht="14.25" customHeight="1">
      <c r="B313" s="59"/>
    </row>
    <row r="314" ht="14.25" customHeight="1">
      <c r="B314" s="59"/>
    </row>
    <row r="315" ht="14.25" customHeight="1">
      <c r="B315" s="59"/>
    </row>
    <row r="316" ht="14.25" customHeight="1">
      <c r="B316" s="59"/>
    </row>
    <row r="317" ht="14.25" customHeight="1">
      <c r="B317" s="59"/>
    </row>
    <row r="318" ht="14.25" customHeight="1">
      <c r="B318" s="59"/>
    </row>
    <row r="319" ht="14.25" customHeight="1">
      <c r="B319" s="59"/>
    </row>
    <row r="320" ht="14.25" customHeight="1">
      <c r="B320" s="59"/>
    </row>
    <row r="321" ht="14.25" customHeight="1">
      <c r="B321" s="59"/>
    </row>
    <row r="322" ht="14.25" customHeight="1">
      <c r="B322" s="59"/>
    </row>
    <row r="323" ht="14.25" customHeight="1">
      <c r="B323" s="59"/>
    </row>
    <row r="324" ht="14.25" customHeight="1">
      <c r="B324" s="59"/>
    </row>
    <row r="325" ht="14.25" customHeight="1">
      <c r="B325" s="59"/>
    </row>
    <row r="326" ht="14.25" customHeight="1">
      <c r="B326" s="59"/>
    </row>
    <row r="327" ht="14.25" customHeight="1">
      <c r="B327" s="59"/>
    </row>
    <row r="328" ht="14.25" customHeight="1">
      <c r="B328" s="59"/>
    </row>
    <row r="329" ht="14.25" customHeight="1">
      <c r="B329" s="59"/>
    </row>
    <row r="330" ht="14.25" customHeight="1">
      <c r="B330" s="59"/>
    </row>
    <row r="331" ht="14.25" customHeight="1">
      <c r="B331" s="59"/>
    </row>
    <row r="332" ht="14.25" customHeight="1">
      <c r="B332" s="59"/>
    </row>
    <row r="333" ht="14.25" customHeight="1">
      <c r="B333" s="59"/>
    </row>
    <row r="334" ht="14.25" customHeight="1">
      <c r="B334" s="59"/>
    </row>
    <row r="335" ht="14.25" customHeight="1">
      <c r="B335" s="59"/>
    </row>
    <row r="336" ht="14.25" customHeight="1">
      <c r="B336" s="59"/>
    </row>
    <row r="337" ht="14.25" customHeight="1">
      <c r="B337" s="59"/>
    </row>
    <row r="338" ht="14.25" customHeight="1">
      <c r="B338" s="59"/>
    </row>
    <row r="339" ht="14.25" customHeight="1">
      <c r="B339" s="59"/>
    </row>
    <row r="340" ht="14.25" customHeight="1">
      <c r="B340" s="59"/>
    </row>
    <row r="341" ht="14.25" customHeight="1">
      <c r="B341" s="59"/>
    </row>
    <row r="342" ht="14.25" customHeight="1">
      <c r="B342" s="59"/>
    </row>
    <row r="343" ht="14.25" customHeight="1">
      <c r="B343" s="59"/>
    </row>
    <row r="344" ht="14.25" customHeight="1">
      <c r="B344" s="59"/>
    </row>
    <row r="345" ht="14.25" customHeight="1">
      <c r="B345" s="59"/>
    </row>
    <row r="346" ht="14.25" customHeight="1">
      <c r="B346" s="59"/>
    </row>
    <row r="347" ht="14.25" customHeight="1">
      <c r="B347" s="59"/>
    </row>
    <row r="348" ht="14.25" customHeight="1">
      <c r="B348" s="59"/>
    </row>
    <row r="349" ht="14.25" customHeight="1">
      <c r="B349" s="59"/>
    </row>
    <row r="350" ht="14.25" customHeight="1">
      <c r="B350" s="59"/>
    </row>
    <row r="351" ht="14.25" customHeight="1">
      <c r="B351" s="59"/>
    </row>
    <row r="352" ht="14.25" customHeight="1">
      <c r="B352" s="59"/>
    </row>
    <row r="353" ht="14.25" customHeight="1">
      <c r="B353" s="59"/>
    </row>
    <row r="354" ht="14.25" customHeight="1">
      <c r="B354" s="59"/>
    </row>
    <row r="355" ht="14.25" customHeight="1">
      <c r="B355" s="59"/>
    </row>
    <row r="356" ht="14.25" customHeight="1">
      <c r="B356" s="59"/>
    </row>
    <row r="357" ht="14.25" customHeight="1">
      <c r="B357" s="59"/>
    </row>
    <row r="358" ht="14.25" customHeight="1">
      <c r="B358" s="59"/>
    </row>
    <row r="359" ht="14.25" customHeight="1">
      <c r="B359" s="59"/>
    </row>
    <row r="360" ht="14.25" customHeight="1">
      <c r="B360" s="59"/>
    </row>
    <row r="361" ht="14.25" customHeight="1">
      <c r="B361" s="59"/>
    </row>
    <row r="362" ht="14.25" customHeight="1">
      <c r="B362" s="59"/>
    </row>
    <row r="363" ht="14.25" customHeight="1">
      <c r="B363" s="59"/>
    </row>
    <row r="364" ht="14.25" customHeight="1">
      <c r="B364" s="59"/>
    </row>
    <row r="365" ht="14.25" customHeight="1">
      <c r="B365" s="59"/>
    </row>
    <row r="366" ht="14.25" customHeight="1">
      <c r="B366" s="59"/>
    </row>
    <row r="367" ht="14.25" customHeight="1">
      <c r="B367" s="59"/>
    </row>
    <row r="368" ht="14.25" customHeight="1">
      <c r="B368" s="59"/>
    </row>
    <row r="369" ht="14.25" customHeight="1">
      <c r="B369" s="59"/>
    </row>
    <row r="370" ht="14.25" customHeight="1">
      <c r="B370" s="59"/>
    </row>
    <row r="371" ht="14.25" customHeight="1">
      <c r="B371" s="59"/>
    </row>
    <row r="372" ht="14.25" customHeight="1">
      <c r="B372" s="59"/>
    </row>
    <row r="373" ht="14.25" customHeight="1">
      <c r="B373" s="59"/>
    </row>
    <row r="374" ht="14.25" customHeight="1">
      <c r="B374" s="59"/>
    </row>
    <row r="375" ht="14.25" customHeight="1">
      <c r="B375" s="59"/>
    </row>
    <row r="376" ht="14.25" customHeight="1">
      <c r="B376" s="59"/>
    </row>
    <row r="377" ht="14.25" customHeight="1">
      <c r="B377" s="59"/>
    </row>
    <row r="378" ht="14.25" customHeight="1">
      <c r="B378" s="59"/>
    </row>
    <row r="379" ht="14.25" customHeight="1">
      <c r="B379" s="59"/>
    </row>
    <row r="380" ht="14.25" customHeight="1">
      <c r="B380" s="59"/>
    </row>
    <row r="381" ht="14.25" customHeight="1">
      <c r="B381" s="59"/>
    </row>
    <row r="382" ht="14.25" customHeight="1">
      <c r="B382" s="59"/>
    </row>
    <row r="383" ht="14.25" customHeight="1">
      <c r="B383" s="59"/>
    </row>
    <row r="384" ht="14.25" customHeight="1">
      <c r="B384" s="59"/>
    </row>
    <row r="385" ht="14.25" customHeight="1">
      <c r="B385" s="59"/>
    </row>
    <row r="386" ht="14.25" customHeight="1">
      <c r="B386" s="59"/>
    </row>
    <row r="387" ht="14.25" customHeight="1">
      <c r="B387" s="59"/>
    </row>
    <row r="388" ht="14.25" customHeight="1">
      <c r="B388" s="59"/>
    </row>
    <row r="389" ht="14.25" customHeight="1">
      <c r="B389" s="59"/>
    </row>
    <row r="390" ht="14.25" customHeight="1">
      <c r="B390" s="59"/>
    </row>
    <row r="391" ht="14.25" customHeight="1">
      <c r="B391" s="59"/>
    </row>
    <row r="392" ht="14.25" customHeight="1">
      <c r="B392" s="59"/>
    </row>
    <row r="393" ht="14.25" customHeight="1">
      <c r="B393" s="59"/>
    </row>
    <row r="394" ht="14.25" customHeight="1">
      <c r="B394" s="59"/>
    </row>
    <row r="395" ht="14.25" customHeight="1">
      <c r="B395" s="59"/>
    </row>
    <row r="396" ht="14.25" customHeight="1">
      <c r="B396" s="59"/>
    </row>
    <row r="397" ht="14.25" customHeight="1">
      <c r="B397" s="59"/>
    </row>
    <row r="398" ht="14.25" customHeight="1">
      <c r="B398" s="59"/>
    </row>
    <row r="399" ht="14.25" customHeight="1">
      <c r="B399" s="59"/>
    </row>
    <row r="400" ht="14.25" customHeight="1">
      <c r="B400" s="59"/>
    </row>
    <row r="401" ht="14.25" customHeight="1">
      <c r="B401" s="59"/>
    </row>
    <row r="402" ht="14.25" customHeight="1">
      <c r="B402" s="59"/>
    </row>
    <row r="403" ht="14.25" customHeight="1">
      <c r="B403" s="59"/>
    </row>
    <row r="404" ht="14.25" customHeight="1">
      <c r="B404" s="59"/>
    </row>
    <row r="405" ht="14.25" customHeight="1">
      <c r="B405" s="59"/>
    </row>
    <row r="406" ht="14.25" customHeight="1">
      <c r="B406" s="59"/>
    </row>
    <row r="407" ht="14.25" customHeight="1">
      <c r="B407" s="59"/>
    </row>
    <row r="408" ht="14.25" customHeight="1">
      <c r="B408" s="59"/>
    </row>
    <row r="409" ht="14.25" customHeight="1">
      <c r="B409" s="59"/>
    </row>
    <row r="410" ht="14.25" customHeight="1">
      <c r="B410" s="59"/>
    </row>
    <row r="411" ht="14.25" customHeight="1">
      <c r="B411" s="59"/>
    </row>
    <row r="412" ht="14.25" customHeight="1">
      <c r="B412" s="59"/>
    </row>
    <row r="413" ht="14.25" customHeight="1">
      <c r="B413" s="59"/>
    </row>
    <row r="414" ht="14.25" customHeight="1">
      <c r="B414" s="59"/>
    </row>
    <row r="415" ht="14.25" customHeight="1">
      <c r="B415" s="59"/>
    </row>
    <row r="416" ht="14.25" customHeight="1">
      <c r="B416" s="59"/>
    </row>
    <row r="417" ht="14.25" customHeight="1">
      <c r="B417" s="59"/>
    </row>
    <row r="418" ht="14.25" customHeight="1">
      <c r="B418" s="59"/>
    </row>
    <row r="419" ht="14.25" customHeight="1">
      <c r="B419" s="59"/>
    </row>
    <row r="420" ht="14.25" customHeight="1">
      <c r="B420" s="59"/>
    </row>
    <row r="421" ht="14.25" customHeight="1">
      <c r="B421" s="59"/>
    </row>
    <row r="422" ht="14.25" customHeight="1">
      <c r="B422" s="59"/>
    </row>
    <row r="423" ht="14.25" customHeight="1">
      <c r="B423" s="59"/>
    </row>
    <row r="424" ht="14.25" customHeight="1">
      <c r="B424" s="59"/>
    </row>
    <row r="425" ht="14.25" customHeight="1">
      <c r="B425" s="59"/>
    </row>
    <row r="426" ht="14.25" customHeight="1">
      <c r="B426" s="59"/>
    </row>
    <row r="427" ht="14.25" customHeight="1">
      <c r="B427" s="59"/>
    </row>
    <row r="428" ht="14.25" customHeight="1">
      <c r="B428" s="59"/>
    </row>
    <row r="429" ht="14.25" customHeight="1">
      <c r="B429" s="59"/>
    </row>
    <row r="430" ht="14.25" customHeight="1">
      <c r="B430" s="59"/>
    </row>
    <row r="431" ht="14.25" customHeight="1">
      <c r="B431" s="59"/>
    </row>
    <row r="432" ht="14.25" customHeight="1">
      <c r="B432" s="59"/>
    </row>
    <row r="433" ht="14.25" customHeight="1">
      <c r="B433" s="59"/>
    </row>
    <row r="434" ht="14.25" customHeight="1">
      <c r="B434" s="59"/>
    </row>
    <row r="435" ht="14.25" customHeight="1">
      <c r="B435" s="59"/>
    </row>
    <row r="436" ht="14.25" customHeight="1">
      <c r="B436" s="59"/>
    </row>
    <row r="437" ht="14.25" customHeight="1">
      <c r="B437" s="59"/>
    </row>
    <row r="438" ht="14.25" customHeight="1">
      <c r="B438" s="59"/>
    </row>
    <row r="439" ht="14.25" customHeight="1">
      <c r="B439" s="59"/>
    </row>
    <row r="440" ht="14.25" customHeight="1">
      <c r="B440" s="59"/>
    </row>
    <row r="441" ht="14.25" customHeight="1">
      <c r="B441" s="59"/>
    </row>
    <row r="442" ht="14.25" customHeight="1">
      <c r="B442" s="59"/>
    </row>
    <row r="443" ht="14.25" customHeight="1">
      <c r="B443" s="59"/>
    </row>
    <row r="444" ht="14.25" customHeight="1">
      <c r="B444" s="59"/>
    </row>
    <row r="445" ht="14.25" customHeight="1">
      <c r="B445" s="59"/>
    </row>
    <row r="446" ht="14.25" customHeight="1">
      <c r="B446" s="59"/>
    </row>
    <row r="447" ht="14.25" customHeight="1">
      <c r="B447" s="59"/>
    </row>
    <row r="448" ht="14.25" customHeight="1">
      <c r="B448" s="59"/>
    </row>
    <row r="449" ht="14.25" customHeight="1">
      <c r="B449" s="59"/>
    </row>
    <row r="450" ht="14.25" customHeight="1">
      <c r="B450" s="59"/>
    </row>
    <row r="451" ht="14.25" customHeight="1">
      <c r="B451" s="59"/>
    </row>
    <row r="452" ht="14.25" customHeight="1">
      <c r="B452" s="59"/>
    </row>
    <row r="453" ht="14.25" customHeight="1">
      <c r="B453" s="59"/>
    </row>
    <row r="454" ht="14.25" customHeight="1">
      <c r="B454" s="59"/>
    </row>
    <row r="455" ht="14.25" customHeight="1">
      <c r="B455" s="59"/>
    </row>
    <row r="456" ht="14.25" customHeight="1">
      <c r="B456" s="59"/>
    </row>
    <row r="457" ht="14.25" customHeight="1">
      <c r="B457" s="59"/>
    </row>
    <row r="458" ht="14.25" customHeight="1">
      <c r="B458" s="59"/>
    </row>
    <row r="459" ht="14.25" customHeight="1">
      <c r="B459" s="59"/>
    </row>
    <row r="460" ht="14.25" customHeight="1">
      <c r="B460" s="59"/>
    </row>
    <row r="461" ht="14.25" customHeight="1">
      <c r="B461" s="59"/>
    </row>
    <row r="462" ht="14.25" customHeight="1">
      <c r="B462" s="59"/>
    </row>
    <row r="463" ht="14.25" customHeight="1">
      <c r="B463" s="59"/>
    </row>
    <row r="464" ht="14.25" customHeight="1">
      <c r="B464" s="59"/>
    </row>
    <row r="465" ht="14.25" customHeight="1">
      <c r="B465" s="59"/>
    </row>
    <row r="466" ht="14.25" customHeight="1">
      <c r="B466" s="59"/>
    </row>
    <row r="467" ht="14.25" customHeight="1">
      <c r="B467" s="59"/>
    </row>
    <row r="468" ht="14.25" customHeight="1">
      <c r="B468" s="59"/>
    </row>
    <row r="469" ht="14.25" customHeight="1">
      <c r="B469" s="59"/>
    </row>
    <row r="470" ht="14.25" customHeight="1">
      <c r="B470" s="59"/>
    </row>
    <row r="471" ht="14.25" customHeight="1">
      <c r="B471" s="59"/>
    </row>
    <row r="472" ht="14.25" customHeight="1">
      <c r="B472" s="59"/>
    </row>
    <row r="473" ht="14.25" customHeight="1">
      <c r="B473" s="59"/>
    </row>
    <row r="474" ht="14.25" customHeight="1">
      <c r="B474" s="59"/>
    </row>
    <row r="475" ht="14.25" customHeight="1">
      <c r="B475" s="59"/>
    </row>
    <row r="476" ht="14.25" customHeight="1">
      <c r="B476" s="59"/>
    </row>
    <row r="477" ht="14.25" customHeight="1">
      <c r="B477" s="59"/>
    </row>
    <row r="478" ht="14.25" customHeight="1">
      <c r="B478" s="59"/>
    </row>
    <row r="479" ht="14.25" customHeight="1">
      <c r="B479" s="59"/>
    </row>
    <row r="480" ht="14.25" customHeight="1">
      <c r="B480" s="59"/>
    </row>
    <row r="481" ht="14.25" customHeight="1">
      <c r="B481" s="59"/>
    </row>
    <row r="482" ht="14.25" customHeight="1">
      <c r="B482" s="59"/>
    </row>
    <row r="483" ht="14.25" customHeight="1">
      <c r="B483" s="59"/>
    </row>
    <row r="484" ht="14.25" customHeight="1">
      <c r="B484" s="59"/>
    </row>
    <row r="485" ht="14.25" customHeight="1">
      <c r="B485" s="59"/>
    </row>
    <row r="486" ht="14.25" customHeight="1">
      <c r="B486" s="59"/>
    </row>
    <row r="487" ht="14.25" customHeight="1">
      <c r="B487" s="59"/>
    </row>
    <row r="488" ht="14.25" customHeight="1">
      <c r="B488" s="59"/>
    </row>
    <row r="489" ht="14.25" customHeight="1">
      <c r="B489" s="59"/>
    </row>
    <row r="490" ht="14.25" customHeight="1">
      <c r="B490" s="59"/>
    </row>
    <row r="491" ht="14.25" customHeight="1">
      <c r="B491" s="59"/>
    </row>
    <row r="492" ht="14.25" customHeight="1">
      <c r="B492" s="59"/>
    </row>
    <row r="493" ht="14.25" customHeight="1">
      <c r="B493" s="59"/>
    </row>
    <row r="494" ht="14.25" customHeight="1">
      <c r="B494" s="59"/>
    </row>
    <row r="495" ht="14.25" customHeight="1">
      <c r="B495" s="59"/>
    </row>
    <row r="496" ht="14.25" customHeight="1">
      <c r="B496" s="59"/>
    </row>
    <row r="497" ht="14.25" customHeight="1">
      <c r="B497" s="59"/>
    </row>
    <row r="498" ht="14.25" customHeight="1">
      <c r="B498" s="59"/>
    </row>
    <row r="499" ht="14.25" customHeight="1">
      <c r="B499" s="59"/>
    </row>
    <row r="500" ht="14.25" customHeight="1">
      <c r="B500" s="59"/>
    </row>
    <row r="501" ht="14.25" customHeight="1">
      <c r="B501" s="59"/>
    </row>
    <row r="502" ht="14.25" customHeight="1">
      <c r="B502" s="59"/>
    </row>
    <row r="503" ht="14.25" customHeight="1">
      <c r="B503" s="59"/>
    </row>
    <row r="504" ht="14.25" customHeight="1">
      <c r="B504" s="59"/>
    </row>
    <row r="505" ht="14.25" customHeight="1">
      <c r="B505" s="59"/>
    </row>
    <row r="506" ht="14.25" customHeight="1">
      <c r="B506" s="59"/>
    </row>
    <row r="507" ht="14.25" customHeight="1">
      <c r="B507" s="59"/>
    </row>
    <row r="508" ht="14.25" customHeight="1">
      <c r="B508" s="59"/>
    </row>
    <row r="509" ht="14.25" customHeight="1">
      <c r="B509" s="59"/>
    </row>
    <row r="510" ht="14.25" customHeight="1">
      <c r="B510" s="59"/>
    </row>
    <row r="511" ht="14.25" customHeight="1">
      <c r="B511" s="59"/>
    </row>
    <row r="512" ht="14.25" customHeight="1">
      <c r="B512" s="59"/>
    </row>
    <row r="513" ht="14.25" customHeight="1">
      <c r="B513" s="59"/>
    </row>
    <row r="514" ht="14.25" customHeight="1">
      <c r="B514" s="59"/>
    </row>
    <row r="515" ht="14.25" customHeight="1">
      <c r="B515" s="59"/>
    </row>
    <row r="516" ht="14.25" customHeight="1">
      <c r="B516" s="59"/>
    </row>
    <row r="517" ht="14.25" customHeight="1">
      <c r="B517" s="59"/>
    </row>
    <row r="518" ht="14.25" customHeight="1">
      <c r="B518" s="59"/>
    </row>
    <row r="519" ht="14.25" customHeight="1">
      <c r="B519" s="59"/>
    </row>
    <row r="520" ht="14.25" customHeight="1">
      <c r="B520" s="59"/>
    </row>
    <row r="521" ht="14.25" customHeight="1">
      <c r="B521" s="59"/>
    </row>
    <row r="522" ht="14.25" customHeight="1">
      <c r="B522" s="59"/>
    </row>
    <row r="523" ht="14.25" customHeight="1">
      <c r="B523" s="59"/>
    </row>
    <row r="524" ht="14.25" customHeight="1">
      <c r="B524" s="59"/>
    </row>
    <row r="525" ht="14.25" customHeight="1">
      <c r="B525" s="59"/>
    </row>
    <row r="526" ht="14.25" customHeight="1">
      <c r="B526" s="59"/>
    </row>
    <row r="527" ht="14.25" customHeight="1">
      <c r="B527" s="59"/>
    </row>
    <row r="528" ht="14.25" customHeight="1">
      <c r="B528" s="59"/>
    </row>
    <row r="529" ht="14.25" customHeight="1">
      <c r="B529" s="59"/>
    </row>
    <row r="530" ht="14.25" customHeight="1">
      <c r="B530" s="59"/>
    </row>
    <row r="531" ht="14.25" customHeight="1">
      <c r="B531" s="59"/>
    </row>
    <row r="532" ht="14.25" customHeight="1">
      <c r="B532" s="59"/>
    </row>
    <row r="533" ht="14.25" customHeight="1">
      <c r="B533" s="59"/>
    </row>
    <row r="534" ht="14.25" customHeight="1">
      <c r="B534" s="59"/>
    </row>
    <row r="535" ht="14.25" customHeight="1">
      <c r="B535" s="59"/>
    </row>
    <row r="536" ht="14.25" customHeight="1">
      <c r="B536" s="59"/>
    </row>
    <row r="537" ht="14.25" customHeight="1">
      <c r="B537" s="59"/>
    </row>
    <row r="538" ht="14.25" customHeight="1">
      <c r="B538" s="59"/>
    </row>
    <row r="539" ht="14.25" customHeight="1">
      <c r="B539" s="59"/>
    </row>
    <row r="540" ht="14.25" customHeight="1">
      <c r="B540" s="59"/>
    </row>
    <row r="541" ht="14.25" customHeight="1">
      <c r="B541" s="59"/>
    </row>
    <row r="542" ht="14.25" customHeight="1">
      <c r="B542" s="59"/>
    </row>
    <row r="543" ht="14.25" customHeight="1">
      <c r="B543" s="59"/>
    </row>
    <row r="544" ht="14.25" customHeight="1">
      <c r="B544" s="59"/>
    </row>
    <row r="545" ht="14.25" customHeight="1">
      <c r="B545" s="59"/>
    </row>
    <row r="546" ht="14.25" customHeight="1">
      <c r="B546" s="59"/>
    </row>
    <row r="547" ht="14.25" customHeight="1">
      <c r="B547" s="59"/>
    </row>
    <row r="548" ht="14.25" customHeight="1">
      <c r="B548" s="59"/>
    </row>
    <row r="549" ht="14.25" customHeight="1">
      <c r="B549" s="59"/>
    </row>
    <row r="550" ht="14.25" customHeight="1">
      <c r="B550" s="59"/>
    </row>
    <row r="551" ht="14.25" customHeight="1">
      <c r="B551" s="59"/>
    </row>
    <row r="552" ht="14.25" customHeight="1">
      <c r="B552" s="59"/>
    </row>
    <row r="553" ht="14.25" customHeight="1">
      <c r="B553" s="59"/>
    </row>
    <row r="554" ht="14.25" customHeight="1">
      <c r="B554" s="59"/>
    </row>
    <row r="555" ht="14.25" customHeight="1">
      <c r="B555" s="59"/>
    </row>
    <row r="556" ht="14.25" customHeight="1">
      <c r="B556" s="59"/>
    </row>
    <row r="557" ht="14.25" customHeight="1">
      <c r="B557" s="59"/>
    </row>
    <row r="558" ht="14.25" customHeight="1">
      <c r="B558" s="59"/>
    </row>
    <row r="559" ht="14.25" customHeight="1">
      <c r="B559" s="59"/>
    </row>
    <row r="560" ht="14.25" customHeight="1">
      <c r="B560" s="59"/>
    </row>
    <row r="561" ht="14.25" customHeight="1">
      <c r="B561" s="59"/>
    </row>
    <row r="562" ht="14.25" customHeight="1">
      <c r="B562" s="59"/>
    </row>
    <row r="563" ht="14.25" customHeight="1">
      <c r="B563" s="59"/>
    </row>
    <row r="564" ht="14.25" customHeight="1">
      <c r="B564" s="59"/>
    </row>
    <row r="565" ht="14.25" customHeight="1">
      <c r="B565" s="59"/>
    </row>
    <row r="566" ht="14.25" customHeight="1">
      <c r="B566" s="59"/>
    </row>
    <row r="567" ht="14.25" customHeight="1">
      <c r="B567" s="59"/>
    </row>
    <row r="568" ht="14.25" customHeight="1">
      <c r="B568" s="59"/>
    </row>
    <row r="569" ht="14.25" customHeight="1">
      <c r="B569" s="59"/>
    </row>
    <row r="570" ht="14.25" customHeight="1">
      <c r="B570" s="59"/>
    </row>
    <row r="571" ht="14.25" customHeight="1">
      <c r="B571" s="59"/>
    </row>
    <row r="572" ht="14.25" customHeight="1">
      <c r="B572" s="59"/>
    </row>
    <row r="573" ht="14.25" customHeight="1">
      <c r="B573" s="59"/>
    </row>
    <row r="574" ht="14.25" customHeight="1">
      <c r="B574" s="59"/>
    </row>
    <row r="575" ht="14.25" customHeight="1">
      <c r="B575" s="59"/>
    </row>
    <row r="576" ht="14.25" customHeight="1">
      <c r="B576" s="59"/>
    </row>
    <row r="577" ht="14.25" customHeight="1">
      <c r="B577" s="59"/>
    </row>
    <row r="578" ht="14.25" customHeight="1">
      <c r="B578" s="59"/>
    </row>
    <row r="579" ht="14.25" customHeight="1">
      <c r="B579" s="59"/>
    </row>
    <row r="580" ht="14.25" customHeight="1">
      <c r="B580" s="59"/>
    </row>
    <row r="581" ht="14.25" customHeight="1">
      <c r="B581" s="59"/>
    </row>
    <row r="582" ht="14.25" customHeight="1">
      <c r="B582" s="59"/>
    </row>
    <row r="583" ht="14.25" customHeight="1">
      <c r="B583" s="59"/>
    </row>
    <row r="584" ht="14.25" customHeight="1">
      <c r="B584" s="59"/>
    </row>
    <row r="585" ht="14.25" customHeight="1">
      <c r="B585" s="59"/>
    </row>
    <row r="586" ht="14.25" customHeight="1">
      <c r="B586" s="59"/>
    </row>
    <row r="587" ht="14.25" customHeight="1">
      <c r="B587" s="59"/>
    </row>
    <row r="588" ht="14.25" customHeight="1">
      <c r="B588" s="59"/>
    </row>
    <row r="589" ht="14.25" customHeight="1">
      <c r="B589" s="59"/>
    </row>
    <row r="590" ht="14.25" customHeight="1">
      <c r="B590" s="59"/>
    </row>
    <row r="591" ht="14.25" customHeight="1">
      <c r="B591" s="59"/>
    </row>
    <row r="592" ht="14.25" customHeight="1">
      <c r="B592" s="59"/>
    </row>
    <row r="593" ht="14.25" customHeight="1">
      <c r="B593" s="59"/>
    </row>
    <row r="594" ht="14.25" customHeight="1">
      <c r="B594" s="59"/>
    </row>
    <row r="595" ht="14.25" customHeight="1">
      <c r="B595" s="59"/>
    </row>
    <row r="596" ht="14.25" customHeight="1">
      <c r="B596" s="59"/>
    </row>
    <row r="597" ht="14.25" customHeight="1">
      <c r="B597" s="59"/>
    </row>
    <row r="598" ht="14.25" customHeight="1">
      <c r="B598" s="59"/>
    </row>
    <row r="599" ht="14.25" customHeight="1">
      <c r="B599" s="59"/>
    </row>
    <row r="600" ht="14.25" customHeight="1">
      <c r="B600" s="59"/>
    </row>
    <row r="601" ht="14.25" customHeight="1">
      <c r="B601" s="59"/>
    </row>
    <row r="602" ht="14.25" customHeight="1">
      <c r="B602" s="59"/>
    </row>
    <row r="603" ht="14.25" customHeight="1">
      <c r="B603" s="59"/>
    </row>
    <row r="604" ht="14.25" customHeight="1">
      <c r="B604" s="59"/>
    </row>
    <row r="605" ht="14.25" customHeight="1">
      <c r="B605" s="59"/>
    </row>
    <row r="606" ht="14.25" customHeight="1">
      <c r="B606" s="59"/>
    </row>
    <row r="607" ht="14.25" customHeight="1">
      <c r="B607" s="59"/>
    </row>
    <row r="608" ht="14.25" customHeight="1">
      <c r="B608" s="59"/>
    </row>
    <row r="609" ht="14.25" customHeight="1">
      <c r="B609" s="59"/>
    </row>
    <row r="610" ht="14.25" customHeight="1">
      <c r="B610" s="59"/>
    </row>
    <row r="611" ht="14.25" customHeight="1">
      <c r="B611" s="59"/>
    </row>
    <row r="612" ht="14.25" customHeight="1">
      <c r="B612" s="59"/>
    </row>
    <row r="613" ht="14.25" customHeight="1">
      <c r="B613" s="59"/>
    </row>
    <row r="614" ht="14.25" customHeight="1">
      <c r="B614" s="59"/>
    </row>
    <row r="615" ht="14.25" customHeight="1">
      <c r="B615" s="59"/>
    </row>
    <row r="616" ht="14.25" customHeight="1">
      <c r="B616" s="59"/>
    </row>
    <row r="617" ht="14.25" customHeight="1">
      <c r="B617" s="59"/>
    </row>
    <row r="618" ht="14.25" customHeight="1">
      <c r="B618" s="59"/>
    </row>
    <row r="619" ht="14.25" customHeight="1">
      <c r="B619" s="59"/>
    </row>
    <row r="620" ht="14.25" customHeight="1">
      <c r="B620" s="59"/>
    </row>
    <row r="621" ht="14.25" customHeight="1">
      <c r="B621" s="59"/>
    </row>
    <row r="622" ht="14.25" customHeight="1">
      <c r="B622" s="59"/>
    </row>
    <row r="623" ht="14.25" customHeight="1">
      <c r="B623" s="59"/>
    </row>
    <row r="624" ht="14.25" customHeight="1">
      <c r="B624" s="59"/>
    </row>
    <row r="625" ht="14.25" customHeight="1">
      <c r="B625" s="59"/>
    </row>
    <row r="626" ht="14.25" customHeight="1">
      <c r="B626" s="59"/>
    </row>
    <row r="627" ht="14.25" customHeight="1">
      <c r="B627" s="59"/>
    </row>
    <row r="628" ht="14.25" customHeight="1">
      <c r="B628" s="59"/>
    </row>
    <row r="629" ht="14.25" customHeight="1">
      <c r="B629" s="59"/>
    </row>
    <row r="630" ht="14.25" customHeight="1">
      <c r="B630" s="59"/>
    </row>
    <row r="631" ht="14.25" customHeight="1">
      <c r="B631" s="59"/>
    </row>
    <row r="632" ht="14.25" customHeight="1">
      <c r="B632" s="59"/>
    </row>
    <row r="633" ht="14.25" customHeight="1">
      <c r="B633" s="59"/>
    </row>
    <row r="634" ht="14.25" customHeight="1">
      <c r="B634" s="59"/>
    </row>
    <row r="635" ht="14.25" customHeight="1">
      <c r="B635" s="59"/>
    </row>
    <row r="636" ht="14.25" customHeight="1">
      <c r="B636" s="59"/>
    </row>
    <row r="637" ht="14.25" customHeight="1">
      <c r="B637" s="59"/>
    </row>
    <row r="638" ht="14.25" customHeight="1">
      <c r="B638" s="59"/>
    </row>
    <row r="639" ht="14.25" customHeight="1">
      <c r="B639" s="59"/>
    </row>
    <row r="640" ht="14.25" customHeight="1">
      <c r="B640" s="59"/>
    </row>
    <row r="641" ht="14.25" customHeight="1">
      <c r="B641" s="59"/>
    </row>
    <row r="642" ht="14.25" customHeight="1">
      <c r="B642" s="59"/>
    </row>
    <row r="643" ht="14.25" customHeight="1">
      <c r="B643" s="59"/>
    </row>
    <row r="644" ht="14.25" customHeight="1">
      <c r="B644" s="59"/>
    </row>
    <row r="645" ht="14.25" customHeight="1">
      <c r="B645" s="59"/>
    </row>
    <row r="646" ht="14.25" customHeight="1">
      <c r="B646" s="59"/>
    </row>
    <row r="647" ht="14.25" customHeight="1">
      <c r="B647" s="59"/>
    </row>
    <row r="648" ht="14.25" customHeight="1">
      <c r="B648" s="59"/>
    </row>
    <row r="649" ht="14.25" customHeight="1">
      <c r="B649" s="59"/>
    </row>
    <row r="650" ht="14.25" customHeight="1">
      <c r="B650" s="59"/>
    </row>
    <row r="651" ht="14.25" customHeight="1">
      <c r="B651" s="59"/>
    </row>
    <row r="652" ht="14.25" customHeight="1">
      <c r="B652" s="59"/>
    </row>
    <row r="653" ht="14.25" customHeight="1">
      <c r="B653" s="59"/>
    </row>
    <row r="654" ht="14.25" customHeight="1">
      <c r="B654" s="59"/>
    </row>
    <row r="655" ht="14.25" customHeight="1">
      <c r="B655" s="59"/>
    </row>
    <row r="656" ht="14.25" customHeight="1">
      <c r="B656" s="59"/>
    </row>
    <row r="657" ht="14.25" customHeight="1">
      <c r="B657" s="59"/>
    </row>
    <row r="658" ht="14.25" customHeight="1">
      <c r="B658" s="59"/>
    </row>
    <row r="659" ht="14.25" customHeight="1">
      <c r="B659" s="59"/>
    </row>
    <row r="660" ht="14.25" customHeight="1">
      <c r="B660" s="59"/>
    </row>
    <row r="661" ht="14.25" customHeight="1">
      <c r="B661" s="59"/>
    </row>
    <row r="662" ht="14.25" customHeight="1">
      <c r="B662" s="59"/>
    </row>
    <row r="663" ht="14.25" customHeight="1">
      <c r="B663" s="59"/>
    </row>
    <row r="664" ht="14.25" customHeight="1">
      <c r="B664" s="59"/>
    </row>
    <row r="665" ht="14.25" customHeight="1">
      <c r="B665" s="59"/>
    </row>
    <row r="666" ht="14.25" customHeight="1">
      <c r="B666" s="59"/>
    </row>
    <row r="667" ht="14.25" customHeight="1">
      <c r="B667" s="59"/>
    </row>
    <row r="668" ht="14.25" customHeight="1">
      <c r="B668" s="59"/>
    </row>
    <row r="669" ht="14.25" customHeight="1">
      <c r="B669" s="59"/>
    </row>
    <row r="670" ht="14.25" customHeight="1">
      <c r="B670" s="59"/>
    </row>
    <row r="671" ht="14.25" customHeight="1">
      <c r="B671" s="59"/>
    </row>
    <row r="672" ht="14.25" customHeight="1">
      <c r="B672" s="59"/>
    </row>
    <row r="673" ht="14.25" customHeight="1">
      <c r="B673" s="59"/>
    </row>
    <row r="674" ht="14.25" customHeight="1">
      <c r="B674" s="59"/>
    </row>
    <row r="675" ht="14.25" customHeight="1">
      <c r="B675" s="59"/>
    </row>
    <row r="676" ht="14.25" customHeight="1">
      <c r="B676" s="59"/>
    </row>
    <row r="677" ht="14.25" customHeight="1">
      <c r="B677" s="59"/>
    </row>
    <row r="678" ht="14.25" customHeight="1">
      <c r="B678" s="59"/>
    </row>
    <row r="679" ht="14.25" customHeight="1">
      <c r="B679" s="59"/>
    </row>
    <row r="680" ht="14.25" customHeight="1">
      <c r="B680" s="59"/>
    </row>
    <row r="681" ht="14.25" customHeight="1">
      <c r="B681" s="59"/>
    </row>
    <row r="682" ht="14.25" customHeight="1">
      <c r="B682" s="59"/>
    </row>
    <row r="683" ht="14.25" customHeight="1">
      <c r="B683" s="59"/>
    </row>
    <row r="684" ht="14.25" customHeight="1">
      <c r="B684" s="59"/>
    </row>
    <row r="685" ht="14.25" customHeight="1">
      <c r="B685" s="59"/>
    </row>
    <row r="686" ht="14.25" customHeight="1">
      <c r="B686" s="59"/>
    </row>
    <row r="687" ht="14.25" customHeight="1">
      <c r="B687" s="59"/>
    </row>
    <row r="688" ht="14.25" customHeight="1">
      <c r="B688" s="59"/>
    </row>
    <row r="689" ht="14.25" customHeight="1">
      <c r="B689" s="59"/>
    </row>
    <row r="690" ht="14.25" customHeight="1">
      <c r="B690" s="59"/>
    </row>
    <row r="691" ht="14.25" customHeight="1">
      <c r="B691" s="59"/>
    </row>
    <row r="692" ht="14.25" customHeight="1">
      <c r="B692" s="59"/>
    </row>
    <row r="693" ht="14.25" customHeight="1">
      <c r="B693" s="59"/>
    </row>
    <row r="694" ht="14.25" customHeight="1">
      <c r="B694" s="59"/>
    </row>
    <row r="695" ht="14.25" customHeight="1">
      <c r="B695" s="59"/>
    </row>
    <row r="696" ht="14.25" customHeight="1">
      <c r="B696" s="59"/>
    </row>
    <row r="697" ht="14.25" customHeight="1">
      <c r="B697" s="59"/>
    </row>
    <row r="698" ht="14.25" customHeight="1">
      <c r="B698" s="59"/>
    </row>
    <row r="699" ht="14.25" customHeight="1">
      <c r="B699" s="59"/>
    </row>
    <row r="700" ht="14.25" customHeight="1">
      <c r="B700" s="59"/>
    </row>
    <row r="701" ht="14.25" customHeight="1">
      <c r="B701" s="59"/>
    </row>
    <row r="702" ht="14.25" customHeight="1">
      <c r="B702" s="59"/>
    </row>
    <row r="703" ht="14.25" customHeight="1">
      <c r="B703" s="59"/>
    </row>
    <row r="704" ht="14.25" customHeight="1">
      <c r="B704" s="59"/>
    </row>
    <row r="705" ht="14.25" customHeight="1">
      <c r="B705" s="59"/>
    </row>
    <row r="706" ht="14.25" customHeight="1">
      <c r="B706" s="59"/>
    </row>
    <row r="707" ht="14.25" customHeight="1">
      <c r="B707" s="59"/>
    </row>
    <row r="708" ht="14.25" customHeight="1">
      <c r="B708" s="59"/>
    </row>
    <row r="709" ht="14.25" customHeight="1">
      <c r="B709" s="59"/>
    </row>
    <row r="710" ht="14.25" customHeight="1">
      <c r="B710" s="59"/>
    </row>
    <row r="711" ht="14.25" customHeight="1">
      <c r="B711" s="59"/>
    </row>
    <row r="712" ht="14.25" customHeight="1">
      <c r="B712" s="59"/>
    </row>
    <row r="713" ht="14.25" customHeight="1">
      <c r="B713" s="59"/>
    </row>
    <row r="714" ht="14.25" customHeight="1">
      <c r="B714" s="59"/>
    </row>
    <row r="715" ht="14.25" customHeight="1">
      <c r="B715" s="59"/>
    </row>
    <row r="716" ht="14.25" customHeight="1">
      <c r="B716" s="59"/>
    </row>
    <row r="717" ht="14.25" customHeight="1">
      <c r="B717" s="59"/>
    </row>
    <row r="718" ht="14.25" customHeight="1">
      <c r="B718" s="59"/>
    </row>
    <row r="719" ht="14.25" customHeight="1">
      <c r="B719" s="59"/>
    </row>
    <row r="720" ht="14.25" customHeight="1">
      <c r="B720" s="59"/>
    </row>
    <row r="721" ht="14.25" customHeight="1">
      <c r="B721" s="59"/>
    </row>
    <row r="722" ht="14.25" customHeight="1">
      <c r="B722" s="59"/>
    </row>
    <row r="723" ht="14.25" customHeight="1">
      <c r="B723" s="59"/>
    </row>
    <row r="724" ht="14.25" customHeight="1">
      <c r="B724" s="59"/>
    </row>
    <row r="725" ht="14.25" customHeight="1">
      <c r="B725" s="59"/>
    </row>
    <row r="726" ht="14.25" customHeight="1">
      <c r="B726" s="59"/>
    </row>
    <row r="727" ht="14.25" customHeight="1">
      <c r="B727" s="59"/>
    </row>
    <row r="728" ht="14.25" customHeight="1">
      <c r="B728" s="59"/>
    </row>
    <row r="729" ht="14.25" customHeight="1">
      <c r="B729" s="59"/>
    </row>
    <row r="730" ht="14.25" customHeight="1">
      <c r="B730" s="59"/>
    </row>
    <row r="731" ht="14.25" customHeight="1">
      <c r="B731" s="59"/>
    </row>
    <row r="732" ht="14.25" customHeight="1">
      <c r="B732" s="59"/>
    </row>
    <row r="733" ht="14.25" customHeight="1">
      <c r="B733" s="59"/>
    </row>
    <row r="734" ht="14.25" customHeight="1">
      <c r="B734" s="59"/>
    </row>
    <row r="735" ht="14.25" customHeight="1">
      <c r="B735" s="59"/>
    </row>
    <row r="736" ht="14.25" customHeight="1">
      <c r="B736" s="59"/>
    </row>
    <row r="737" ht="14.25" customHeight="1">
      <c r="B737" s="59"/>
    </row>
    <row r="738" ht="14.25" customHeight="1">
      <c r="B738" s="59"/>
    </row>
    <row r="739" ht="14.25" customHeight="1">
      <c r="B739" s="59"/>
    </row>
    <row r="740" ht="14.25" customHeight="1">
      <c r="B740" s="59"/>
    </row>
    <row r="741" ht="14.25" customHeight="1">
      <c r="B741" s="59"/>
    </row>
    <row r="742" ht="14.25" customHeight="1">
      <c r="B742" s="59"/>
    </row>
    <row r="743" ht="14.25" customHeight="1">
      <c r="B743" s="59"/>
    </row>
    <row r="744" ht="14.25" customHeight="1">
      <c r="B744" s="59"/>
    </row>
    <row r="745" ht="14.25" customHeight="1">
      <c r="B745" s="59"/>
    </row>
    <row r="746" ht="14.25" customHeight="1">
      <c r="B746" s="59"/>
    </row>
    <row r="747" ht="14.25" customHeight="1">
      <c r="B747" s="59"/>
    </row>
    <row r="748" ht="14.25" customHeight="1">
      <c r="B748" s="59"/>
    </row>
    <row r="749" ht="14.25" customHeight="1">
      <c r="B749" s="59"/>
    </row>
    <row r="750" ht="14.25" customHeight="1">
      <c r="B750" s="59"/>
    </row>
    <row r="751" ht="14.25" customHeight="1">
      <c r="B751" s="59"/>
    </row>
    <row r="752" ht="14.25" customHeight="1">
      <c r="B752" s="59"/>
    </row>
    <row r="753" ht="14.25" customHeight="1">
      <c r="B753" s="59"/>
    </row>
    <row r="754" ht="14.25" customHeight="1">
      <c r="B754" s="59"/>
    </row>
    <row r="755" ht="14.25" customHeight="1">
      <c r="B755" s="59"/>
    </row>
    <row r="756" ht="14.25" customHeight="1">
      <c r="B756" s="59"/>
    </row>
    <row r="757" ht="14.25" customHeight="1">
      <c r="B757" s="59"/>
    </row>
    <row r="758" ht="14.25" customHeight="1">
      <c r="B758" s="59"/>
    </row>
    <row r="759" ht="14.25" customHeight="1">
      <c r="B759" s="59"/>
    </row>
    <row r="760" ht="14.25" customHeight="1">
      <c r="B760" s="59"/>
    </row>
    <row r="761" ht="14.25" customHeight="1">
      <c r="B761" s="59"/>
    </row>
    <row r="762" ht="14.25" customHeight="1">
      <c r="B762" s="59"/>
    </row>
    <row r="763" ht="14.25" customHeight="1">
      <c r="B763" s="59"/>
    </row>
    <row r="764" ht="14.25" customHeight="1">
      <c r="B764" s="59"/>
    </row>
    <row r="765" ht="14.25" customHeight="1">
      <c r="B765" s="59"/>
    </row>
    <row r="766" ht="14.25" customHeight="1">
      <c r="B766" s="59"/>
    </row>
    <row r="767" ht="14.25" customHeight="1">
      <c r="B767" s="59"/>
    </row>
    <row r="768" ht="14.25" customHeight="1">
      <c r="B768" s="59"/>
    </row>
    <row r="769" ht="14.25" customHeight="1">
      <c r="B769" s="59"/>
    </row>
    <row r="770" ht="14.25" customHeight="1">
      <c r="B770" s="59"/>
    </row>
    <row r="771" ht="14.25" customHeight="1">
      <c r="B771" s="59"/>
    </row>
    <row r="772" ht="14.25" customHeight="1">
      <c r="B772" s="59"/>
    </row>
    <row r="773" ht="14.25" customHeight="1">
      <c r="B773" s="59"/>
    </row>
    <row r="774" ht="14.25" customHeight="1">
      <c r="B774" s="59"/>
    </row>
    <row r="775" ht="14.25" customHeight="1">
      <c r="B775" s="59"/>
    </row>
    <row r="776" ht="14.25" customHeight="1">
      <c r="B776" s="59"/>
    </row>
    <row r="777" ht="14.25" customHeight="1">
      <c r="B777" s="59"/>
    </row>
    <row r="778" ht="14.25" customHeight="1">
      <c r="B778" s="59"/>
    </row>
    <row r="779" ht="14.25" customHeight="1">
      <c r="B779" s="59"/>
    </row>
    <row r="780" ht="14.25" customHeight="1">
      <c r="B780" s="59"/>
    </row>
    <row r="781" ht="14.25" customHeight="1">
      <c r="B781" s="59"/>
    </row>
    <row r="782" ht="14.25" customHeight="1">
      <c r="B782" s="59"/>
    </row>
    <row r="783" ht="14.25" customHeight="1">
      <c r="B783" s="59"/>
    </row>
    <row r="784" ht="14.25" customHeight="1">
      <c r="B784" s="59"/>
    </row>
    <row r="785" ht="14.25" customHeight="1">
      <c r="B785" s="59"/>
    </row>
    <row r="786" ht="14.25" customHeight="1">
      <c r="B786" s="59"/>
    </row>
    <row r="787" ht="14.25" customHeight="1">
      <c r="B787" s="59"/>
    </row>
    <row r="788" ht="14.25" customHeight="1">
      <c r="B788" s="59"/>
    </row>
    <row r="789" ht="14.25" customHeight="1">
      <c r="B789" s="59"/>
    </row>
    <row r="790" ht="14.25" customHeight="1">
      <c r="B790" s="59"/>
    </row>
    <row r="791" ht="14.25" customHeight="1">
      <c r="B791" s="59"/>
    </row>
    <row r="792" ht="14.25" customHeight="1">
      <c r="B792" s="59"/>
    </row>
    <row r="793" ht="14.25" customHeight="1">
      <c r="B793" s="59"/>
    </row>
    <row r="794" ht="14.25" customHeight="1">
      <c r="B794" s="59"/>
    </row>
    <row r="795" ht="14.25" customHeight="1">
      <c r="B795" s="59"/>
    </row>
    <row r="796" ht="14.25" customHeight="1">
      <c r="B796" s="59"/>
    </row>
    <row r="797" ht="14.25" customHeight="1">
      <c r="B797" s="59"/>
    </row>
    <row r="798" ht="14.25" customHeight="1">
      <c r="B798" s="59"/>
    </row>
    <row r="799" ht="14.25" customHeight="1">
      <c r="B799" s="59"/>
    </row>
    <row r="800" ht="14.25" customHeight="1">
      <c r="B800" s="59"/>
    </row>
    <row r="801" ht="14.25" customHeight="1">
      <c r="B801" s="59"/>
    </row>
    <row r="802" ht="14.25" customHeight="1">
      <c r="B802" s="59"/>
    </row>
    <row r="803" ht="14.25" customHeight="1">
      <c r="B803" s="59"/>
    </row>
    <row r="804" ht="14.25" customHeight="1">
      <c r="B804" s="59"/>
    </row>
    <row r="805" ht="14.25" customHeight="1">
      <c r="B805" s="59"/>
    </row>
    <row r="806" ht="14.25" customHeight="1">
      <c r="B806" s="59"/>
    </row>
    <row r="807" ht="14.25" customHeight="1">
      <c r="B807" s="59"/>
    </row>
    <row r="808" ht="14.25" customHeight="1">
      <c r="B808" s="59"/>
    </row>
    <row r="809" ht="14.25" customHeight="1">
      <c r="B809" s="59"/>
    </row>
    <row r="810" ht="14.25" customHeight="1">
      <c r="B810" s="59"/>
    </row>
    <row r="811" ht="14.25" customHeight="1">
      <c r="B811" s="59"/>
    </row>
    <row r="812" ht="14.25" customHeight="1">
      <c r="B812" s="59"/>
    </row>
    <row r="813" ht="14.25" customHeight="1">
      <c r="B813" s="59"/>
    </row>
    <row r="814" ht="14.25" customHeight="1">
      <c r="B814" s="59"/>
    </row>
    <row r="815" ht="14.25" customHeight="1">
      <c r="B815" s="59"/>
    </row>
    <row r="816" ht="14.25" customHeight="1">
      <c r="B816" s="59"/>
    </row>
    <row r="817" ht="14.25" customHeight="1">
      <c r="B817" s="59"/>
    </row>
    <row r="818" ht="14.25" customHeight="1">
      <c r="B818" s="59"/>
    </row>
    <row r="819" ht="14.25" customHeight="1">
      <c r="B819" s="59"/>
    </row>
    <row r="820" ht="14.25" customHeight="1">
      <c r="B820" s="59"/>
    </row>
    <row r="821" ht="14.25" customHeight="1">
      <c r="B821" s="59"/>
    </row>
    <row r="822" ht="14.25" customHeight="1">
      <c r="B822" s="59"/>
    </row>
    <row r="823" ht="14.25" customHeight="1">
      <c r="B823" s="59"/>
    </row>
    <row r="824" ht="14.25" customHeight="1">
      <c r="B824" s="59"/>
    </row>
    <row r="825" ht="14.25" customHeight="1">
      <c r="B825" s="59"/>
    </row>
    <row r="826" ht="14.25" customHeight="1">
      <c r="B826" s="59"/>
    </row>
    <row r="827" ht="14.25" customHeight="1">
      <c r="B827" s="59"/>
    </row>
    <row r="828" ht="14.25" customHeight="1">
      <c r="B828" s="59"/>
    </row>
    <row r="829" ht="14.25" customHeight="1">
      <c r="B829" s="59"/>
    </row>
    <row r="830" ht="14.25" customHeight="1">
      <c r="B830" s="59"/>
    </row>
    <row r="831" ht="14.25" customHeight="1">
      <c r="B831" s="59"/>
    </row>
    <row r="832" ht="14.25" customHeight="1">
      <c r="B832" s="59"/>
    </row>
    <row r="833" ht="14.25" customHeight="1">
      <c r="B833" s="59"/>
    </row>
    <row r="834" ht="14.25" customHeight="1">
      <c r="B834" s="59"/>
    </row>
    <row r="835" ht="14.25" customHeight="1">
      <c r="B835" s="59"/>
    </row>
    <row r="836" ht="14.25" customHeight="1">
      <c r="B836" s="59"/>
    </row>
    <row r="837" ht="14.25" customHeight="1">
      <c r="B837" s="59"/>
    </row>
    <row r="838" ht="14.25" customHeight="1">
      <c r="B838" s="59"/>
    </row>
    <row r="839" ht="14.25" customHeight="1">
      <c r="B839" s="59"/>
    </row>
    <row r="840" ht="14.25" customHeight="1">
      <c r="B840" s="59"/>
    </row>
    <row r="841" ht="14.25" customHeight="1">
      <c r="B841" s="59"/>
    </row>
    <row r="842" ht="14.25" customHeight="1">
      <c r="B842" s="59"/>
    </row>
    <row r="843" ht="14.25" customHeight="1">
      <c r="B843" s="59"/>
    </row>
    <row r="844" ht="14.25" customHeight="1">
      <c r="B844" s="59"/>
    </row>
    <row r="845" ht="14.25" customHeight="1">
      <c r="B845" s="59"/>
    </row>
    <row r="846" ht="14.25" customHeight="1">
      <c r="B846" s="59"/>
    </row>
    <row r="847" ht="14.25" customHeight="1">
      <c r="B847" s="59"/>
    </row>
    <row r="848" ht="14.25" customHeight="1">
      <c r="B848" s="59"/>
    </row>
    <row r="849" ht="14.25" customHeight="1">
      <c r="B849" s="59"/>
    </row>
    <row r="850" ht="14.25" customHeight="1">
      <c r="B850" s="59"/>
    </row>
    <row r="851" ht="14.25" customHeight="1">
      <c r="B851" s="59"/>
    </row>
    <row r="852" ht="14.25" customHeight="1">
      <c r="B852" s="59"/>
    </row>
    <row r="853" ht="14.25" customHeight="1">
      <c r="B853" s="59"/>
    </row>
    <row r="854" ht="14.25" customHeight="1">
      <c r="B854" s="59"/>
    </row>
    <row r="855" ht="14.25" customHeight="1">
      <c r="B855" s="59"/>
    </row>
    <row r="856" ht="14.25" customHeight="1">
      <c r="B856" s="59"/>
    </row>
    <row r="857" ht="14.25" customHeight="1">
      <c r="B857" s="59"/>
    </row>
    <row r="858" ht="14.25" customHeight="1">
      <c r="B858" s="59"/>
    </row>
    <row r="859" ht="14.25" customHeight="1">
      <c r="B859" s="59"/>
    </row>
    <row r="860" ht="14.25" customHeight="1">
      <c r="B860" s="59"/>
    </row>
    <row r="861" ht="14.25" customHeight="1">
      <c r="B861" s="59"/>
    </row>
    <row r="862" ht="14.25" customHeight="1">
      <c r="B862" s="59"/>
    </row>
    <row r="863" ht="14.25" customHeight="1">
      <c r="B863" s="59"/>
    </row>
    <row r="864" ht="14.25" customHeight="1">
      <c r="B864" s="59"/>
    </row>
    <row r="865" ht="14.25" customHeight="1">
      <c r="B865" s="59"/>
    </row>
    <row r="866" ht="14.25" customHeight="1">
      <c r="B866" s="59"/>
    </row>
    <row r="867" ht="14.25" customHeight="1">
      <c r="B867" s="59"/>
    </row>
    <row r="868" ht="14.25" customHeight="1">
      <c r="B868" s="59"/>
    </row>
    <row r="869" ht="14.25" customHeight="1">
      <c r="B869" s="59"/>
    </row>
    <row r="870" ht="14.25" customHeight="1">
      <c r="B870" s="59"/>
    </row>
    <row r="871" ht="14.25" customHeight="1">
      <c r="B871" s="59"/>
    </row>
    <row r="872" ht="14.25" customHeight="1">
      <c r="B872" s="59"/>
    </row>
    <row r="873" ht="14.25" customHeight="1">
      <c r="B873" s="59"/>
    </row>
    <row r="874" ht="14.25" customHeight="1">
      <c r="B874" s="59"/>
    </row>
    <row r="875" ht="14.25" customHeight="1">
      <c r="B875" s="59"/>
    </row>
    <row r="876" ht="14.25" customHeight="1">
      <c r="B876" s="59"/>
    </row>
    <row r="877" ht="14.25" customHeight="1">
      <c r="B877" s="59"/>
    </row>
    <row r="878" ht="14.25" customHeight="1">
      <c r="B878" s="59"/>
    </row>
    <row r="879" ht="14.25" customHeight="1">
      <c r="B879" s="59"/>
    </row>
    <row r="880" ht="14.25" customHeight="1">
      <c r="B880" s="59"/>
    </row>
    <row r="881" ht="14.25" customHeight="1">
      <c r="B881" s="59"/>
    </row>
    <row r="882" ht="14.25" customHeight="1">
      <c r="B882" s="59"/>
    </row>
    <row r="883" ht="14.25" customHeight="1">
      <c r="B883" s="59"/>
    </row>
    <row r="884" ht="14.25" customHeight="1">
      <c r="B884" s="59"/>
    </row>
    <row r="885" ht="14.25" customHeight="1">
      <c r="B885" s="59"/>
    </row>
    <row r="886" ht="14.25" customHeight="1">
      <c r="B886" s="59"/>
    </row>
    <row r="887" ht="14.25" customHeight="1">
      <c r="B887" s="59"/>
    </row>
    <row r="888" ht="14.25" customHeight="1">
      <c r="B888" s="59"/>
    </row>
    <row r="889" ht="14.25" customHeight="1">
      <c r="B889" s="59"/>
    </row>
    <row r="890" ht="14.25" customHeight="1">
      <c r="B890" s="59"/>
    </row>
    <row r="891" ht="14.25" customHeight="1">
      <c r="B891" s="59"/>
    </row>
    <row r="892" ht="14.25" customHeight="1">
      <c r="B892" s="59"/>
    </row>
    <row r="893" ht="14.25" customHeight="1">
      <c r="B893" s="59"/>
    </row>
    <row r="894" ht="14.25" customHeight="1">
      <c r="B894" s="59"/>
    </row>
    <row r="895" ht="14.25" customHeight="1">
      <c r="B895" s="59"/>
    </row>
    <row r="896" ht="14.25" customHeight="1">
      <c r="B896" s="59"/>
    </row>
    <row r="897" ht="14.25" customHeight="1">
      <c r="B897" s="59"/>
    </row>
    <row r="898" ht="14.25" customHeight="1">
      <c r="B898" s="59"/>
    </row>
    <row r="899" ht="14.25" customHeight="1">
      <c r="B899" s="59"/>
    </row>
    <row r="900" ht="14.25" customHeight="1">
      <c r="B900" s="59"/>
    </row>
    <row r="901" ht="14.25" customHeight="1">
      <c r="B901" s="59"/>
    </row>
    <row r="902" ht="14.25" customHeight="1">
      <c r="B902" s="59"/>
    </row>
    <row r="903" ht="14.25" customHeight="1">
      <c r="B903" s="59"/>
    </row>
    <row r="904" ht="14.25" customHeight="1">
      <c r="B904" s="59"/>
    </row>
    <row r="905" ht="14.25" customHeight="1">
      <c r="B905" s="59"/>
    </row>
    <row r="906" ht="14.25" customHeight="1">
      <c r="B906" s="59"/>
    </row>
    <row r="907" ht="14.25" customHeight="1">
      <c r="B907" s="59"/>
    </row>
    <row r="908" ht="14.25" customHeight="1">
      <c r="B908" s="59"/>
    </row>
    <row r="909" ht="14.25" customHeight="1">
      <c r="B909" s="59"/>
    </row>
    <row r="910" ht="14.25" customHeight="1">
      <c r="B910" s="59"/>
    </row>
    <row r="911" ht="14.25" customHeight="1">
      <c r="B911" s="59"/>
    </row>
    <row r="912" ht="14.25" customHeight="1">
      <c r="B912" s="59"/>
    </row>
    <row r="913" ht="14.25" customHeight="1">
      <c r="B913" s="59"/>
    </row>
    <row r="914" ht="14.25" customHeight="1">
      <c r="B914" s="59"/>
    </row>
    <row r="915" ht="14.25" customHeight="1">
      <c r="B915" s="59"/>
    </row>
    <row r="916" ht="14.25" customHeight="1">
      <c r="B916" s="59"/>
    </row>
    <row r="917" ht="14.25" customHeight="1">
      <c r="B917" s="59"/>
    </row>
    <row r="918" ht="14.25" customHeight="1">
      <c r="B918" s="59"/>
    </row>
    <row r="919" ht="14.25" customHeight="1">
      <c r="B919" s="59"/>
    </row>
    <row r="920" ht="14.25" customHeight="1">
      <c r="B920" s="59"/>
    </row>
    <row r="921" ht="14.25" customHeight="1">
      <c r="B921" s="59"/>
    </row>
    <row r="922" ht="14.25" customHeight="1">
      <c r="B922" s="59"/>
    </row>
    <row r="923" ht="14.25" customHeight="1">
      <c r="B923" s="59"/>
    </row>
    <row r="924" ht="14.25" customHeight="1">
      <c r="B924" s="59"/>
    </row>
    <row r="925" ht="14.25" customHeight="1">
      <c r="B925" s="59"/>
    </row>
    <row r="926" ht="14.25" customHeight="1">
      <c r="B926" s="59"/>
    </row>
    <row r="927" ht="14.25" customHeight="1">
      <c r="B927" s="59"/>
    </row>
    <row r="928" ht="14.25" customHeight="1">
      <c r="B928" s="59"/>
    </row>
    <row r="929" ht="14.25" customHeight="1">
      <c r="B929" s="59"/>
    </row>
    <row r="930" ht="14.25" customHeight="1">
      <c r="B930" s="59"/>
    </row>
    <row r="931" ht="14.25" customHeight="1">
      <c r="B931" s="59"/>
    </row>
    <row r="932" ht="14.25" customHeight="1">
      <c r="B932" s="59"/>
    </row>
    <row r="933" ht="14.25" customHeight="1">
      <c r="B933" s="59"/>
    </row>
    <row r="934" ht="14.25" customHeight="1">
      <c r="B934" s="59"/>
    </row>
    <row r="935" ht="14.25" customHeight="1">
      <c r="B935" s="59"/>
    </row>
    <row r="936" ht="14.25" customHeight="1">
      <c r="B936" s="59"/>
    </row>
    <row r="937" ht="14.25" customHeight="1">
      <c r="B937" s="59"/>
    </row>
    <row r="938" ht="14.25" customHeight="1">
      <c r="B938" s="59"/>
    </row>
    <row r="939" ht="14.25" customHeight="1">
      <c r="B939" s="59"/>
    </row>
    <row r="940" ht="14.25" customHeight="1">
      <c r="B940" s="59"/>
    </row>
    <row r="941" ht="14.25" customHeight="1">
      <c r="B941" s="59"/>
    </row>
    <row r="942" ht="14.25" customHeight="1">
      <c r="B942" s="59"/>
    </row>
    <row r="943" ht="14.25" customHeight="1">
      <c r="B943" s="59"/>
    </row>
    <row r="944" ht="14.25" customHeight="1">
      <c r="B944" s="59"/>
    </row>
    <row r="945" ht="14.25" customHeight="1">
      <c r="B945" s="59"/>
    </row>
    <row r="946" ht="14.25" customHeight="1">
      <c r="B946" s="59"/>
    </row>
    <row r="947" ht="14.25" customHeight="1">
      <c r="B947" s="59"/>
    </row>
    <row r="948" ht="14.25" customHeight="1">
      <c r="B948" s="59"/>
    </row>
    <row r="949" ht="14.25" customHeight="1">
      <c r="B949" s="59"/>
    </row>
    <row r="950" ht="14.25" customHeight="1">
      <c r="B950" s="59"/>
    </row>
    <row r="951" ht="14.25" customHeight="1">
      <c r="B951" s="59"/>
    </row>
    <row r="952" ht="14.25" customHeight="1">
      <c r="B952" s="59"/>
    </row>
    <row r="953" ht="14.25" customHeight="1">
      <c r="B953" s="59"/>
    </row>
    <row r="954" ht="14.25" customHeight="1">
      <c r="B954" s="59"/>
    </row>
    <row r="955" ht="14.25" customHeight="1">
      <c r="B955" s="59"/>
    </row>
    <row r="956" ht="14.25" customHeight="1">
      <c r="B956" s="59"/>
    </row>
    <row r="957" ht="14.25" customHeight="1">
      <c r="B957" s="59"/>
    </row>
    <row r="958" ht="14.25" customHeight="1">
      <c r="B958" s="59"/>
    </row>
    <row r="959" ht="14.25" customHeight="1">
      <c r="B959" s="59"/>
    </row>
    <row r="960" ht="14.25" customHeight="1">
      <c r="B960" s="59"/>
    </row>
    <row r="961" ht="14.25" customHeight="1">
      <c r="B961" s="59"/>
    </row>
    <row r="962" ht="14.25" customHeight="1">
      <c r="B962" s="59"/>
    </row>
    <row r="963" ht="14.25" customHeight="1">
      <c r="B963" s="59"/>
    </row>
    <row r="964" ht="14.25" customHeight="1">
      <c r="B964" s="59"/>
    </row>
    <row r="965" ht="14.25" customHeight="1">
      <c r="B965" s="59"/>
    </row>
    <row r="966" ht="14.25" customHeight="1">
      <c r="B966" s="59"/>
    </row>
    <row r="967" ht="14.25" customHeight="1">
      <c r="B967" s="59"/>
    </row>
    <row r="968" ht="14.25" customHeight="1">
      <c r="B968" s="59"/>
    </row>
    <row r="969" ht="14.25" customHeight="1">
      <c r="B969" s="59"/>
    </row>
    <row r="970" ht="14.25" customHeight="1">
      <c r="B970" s="59"/>
    </row>
    <row r="971" ht="14.25" customHeight="1">
      <c r="B971" s="59"/>
    </row>
    <row r="972" ht="14.25" customHeight="1">
      <c r="B972" s="59"/>
    </row>
    <row r="973" ht="14.25" customHeight="1">
      <c r="B973" s="59"/>
    </row>
    <row r="974" ht="14.25" customHeight="1">
      <c r="B974" s="59"/>
    </row>
    <row r="975" ht="14.25" customHeight="1">
      <c r="B975" s="59"/>
    </row>
    <row r="976" ht="14.25" customHeight="1">
      <c r="B976" s="59"/>
    </row>
    <row r="977" ht="14.25" customHeight="1">
      <c r="B977" s="59"/>
    </row>
    <row r="978" ht="14.25" customHeight="1">
      <c r="B978" s="59"/>
    </row>
    <row r="979" ht="14.25" customHeight="1">
      <c r="B979" s="59"/>
    </row>
    <row r="980" ht="14.25" customHeight="1">
      <c r="B980" s="59"/>
    </row>
    <row r="981" ht="14.25" customHeight="1">
      <c r="B981" s="59"/>
    </row>
    <row r="982" ht="14.25" customHeight="1">
      <c r="B982" s="59"/>
    </row>
    <row r="983" ht="14.25" customHeight="1">
      <c r="B983" s="59"/>
    </row>
    <row r="984" ht="14.25" customHeight="1">
      <c r="B984" s="59"/>
    </row>
    <row r="985" ht="14.25" customHeight="1">
      <c r="B985" s="59"/>
    </row>
    <row r="986" ht="14.25" customHeight="1">
      <c r="B986" s="59"/>
    </row>
    <row r="987" ht="14.25" customHeight="1">
      <c r="B987" s="59"/>
    </row>
    <row r="988" ht="14.25" customHeight="1">
      <c r="B988" s="59"/>
    </row>
    <row r="989" ht="14.25" customHeight="1">
      <c r="B989" s="59"/>
    </row>
    <row r="990" ht="14.25" customHeight="1">
      <c r="B990" s="59"/>
    </row>
    <row r="991" ht="14.25" customHeight="1">
      <c r="B991" s="59"/>
    </row>
    <row r="992" ht="14.25" customHeight="1">
      <c r="B992" s="59"/>
    </row>
    <row r="993" ht="14.25" customHeight="1">
      <c r="B993" s="59"/>
    </row>
    <row r="994" ht="14.25" customHeight="1">
      <c r="B994" s="59"/>
    </row>
    <row r="995" ht="14.25" customHeight="1">
      <c r="B995" s="59"/>
    </row>
    <row r="996" ht="14.25" customHeight="1">
      <c r="B996" s="59"/>
    </row>
    <row r="997" ht="14.25" customHeight="1">
      <c r="B997" s="59"/>
    </row>
    <row r="998" ht="14.25" customHeight="1">
      <c r="B998" s="59"/>
    </row>
    <row r="999" ht="14.25" customHeight="1">
      <c r="B999" s="59"/>
    </row>
    <row r="1000" ht="14.25" customHeight="1">
      <c r="B1000" s="59"/>
    </row>
  </sheetData>
  <mergeCells count="7">
    <mergeCell ref="A1:G2"/>
    <mergeCell ref="B13:B14"/>
    <mergeCell ref="D13:D14"/>
    <mergeCell ref="E13:E14"/>
    <mergeCell ref="B16:B17"/>
    <mergeCell ref="D16:D17"/>
    <mergeCell ref="E16:E17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496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120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137">
        <v>1.0</v>
      </c>
      <c r="B4" s="225">
        <v>45668.0</v>
      </c>
      <c r="C4" s="86" t="s">
        <v>478</v>
      </c>
      <c r="D4" s="154" t="s">
        <v>149</v>
      </c>
      <c r="E4" s="154" t="s">
        <v>512</v>
      </c>
      <c r="F4" s="222">
        <v>1.0</v>
      </c>
      <c r="G4" s="223">
        <v>4950.0</v>
      </c>
    </row>
    <row r="5" ht="18.75" customHeight="1">
      <c r="A5" s="226"/>
      <c r="B5" s="38"/>
      <c r="C5" s="86" t="s">
        <v>510</v>
      </c>
      <c r="D5" s="38"/>
      <c r="E5" s="38"/>
      <c r="F5" s="222">
        <v>1.0</v>
      </c>
      <c r="G5" s="223">
        <v>2000.0</v>
      </c>
    </row>
    <row r="6" ht="18.75" customHeight="1">
      <c r="A6" s="85">
        <v>2.0</v>
      </c>
      <c r="B6" s="38"/>
      <c r="C6" s="86" t="s">
        <v>385</v>
      </c>
      <c r="D6" s="47"/>
      <c r="E6" s="47"/>
      <c r="F6" s="222">
        <v>1.0</v>
      </c>
      <c r="G6" s="223">
        <v>5400.0</v>
      </c>
    </row>
    <row r="7" ht="18.75" customHeight="1">
      <c r="A7" s="86">
        <v>3.0</v>
      </c>
      <c r="B7" s="38"/>
      <c r="C7" s="86" t="s">
        <v>531</v>
      </c>
      <c r="D7" s="135" t="s">
        <v>36</v>
      </c>
      <c r="E7" s="135" t="s">
        <v>23</v>
      </c>
      <c r="F7" s="222">
        <v>1.0</v>
      </c>
      <c r="G7" s="223">
        <v>3000.0</v>
      </c>
    </row>
    <row r="8" ht="18.75" customHeight="1">
      <c r="A8" s="86">
        <v>4.0</v>
      </c>
      <c r="B8" s="38"/>
      <c r="C8" s="86" t="s">
        <v>472</v>
      </c>
      <c r="D8" s="47"/>
      <c r="E8" s="47"/>
      <c r="F8" s="222">
        <v>1.0</v>
      </c>
      <c r="G8" s="223">
        <v>1800.0</v>
      </c>
    </row>
    <row r="9" ht="18.75" customHeight="1">
      <c r="A9" s="86">
        <v>5.0</v>
      </c>
      <c r="B9" s="38"/>
      <c r="C9" s="86" t="s">
        <v>478</v>
      </c>
      <c r="D9" s="87" t="s">
        <v>208</v>
      </c>
      <c r="E9" s="86" t="s">
        <v>532</v>
      </c>
      <c r="F9" s="222">
        <v>1.0</v>
      </c>
      <c r="G9" s="223">
        <v>3600.0</v>
      </c>
    </row>
    <row r="10" ht="18.75" customHeight="1">
      <c r="A10" s="86">
        <v>6.0</v>
      </c>
      <c r="B10" s="47"/>
      <c r="C10" s="86" t="s">
        <v>472</v>
      </c>
      <c r="D10" s="86" t="s">
        <v>36</v>
      </c>
      <c r="E10" s="86" t="s">
        <v>201</v>
      </c>
      <c r="F10" s="222">
        <v>1.0</v>
      </c>
      <c r="G10" s="223">
        <v>1800.0</v>
      </c>
    </row>
    <row r="11" ht="18.75" customHeight="1">
      <c r="A11" s="137">
        <v>7.0</v>
      </c>
      <c r="B11" s="210">
        <v>45669.0</v>
      </c>
      <c r="C11" s="86" t="s">
        <v>472</v>
      </c>
      <c r="D11" s="86" t="s">
        <v>299</v>
      </c>
      <c r="E11" s="86" t="s">
        <v>473</v>
      </c>
      <c r="F11" s="222">
        <v>1.0</v>
      </c>
      <c r="G11" s="223">
        <v>1800.0</v>
      </c>
    </row>
    <row r="12" ht="18.75" customHeight="1">
      <c r="A12" s="85">
        <v>8.0</v>
      </c>
      <c r="B12" s="210">
        <v>45673.0</v>
      </c>
      <c r="C12" s="86" t="s">
        <v>472</v>
      </c>
      <c r="D12" s="86" t="s">
        <v>435</v>
      </c>
      <c r="E12" s="86" t="s">
        <v>134</v>
      </c>
      <c r="F12" s="222">
        <v>1.0</v>
      </c>
      <c r="G12" s="223">
        <v>1800.0</v>
      </c>
    </row>
    <row r="13" ht="18.75" customHeight="1">
      <c r="A13" s="86">
        <v>9.0</v>
      </c>
      <c r="B13" s="210">
        <v>45678.0</v>
      </c>
      <c r="C13" s="86" t="s">
        <v>389</v>
      </c>
      <c r="D13" s="86" t="s">
        <v>533</v>
      </c>
      <c r="E13" s="86" t="s">
        <v>47</v>
      </c>
      <c r="F13" s="222">
        <v>1.0</v>
      </c>
      <c r="G13" s="223">
        <v>6000.0</v>
      </c>
    </row>
    <row r="14" ht="18.75" customHeight="1">
      <c r="A14" s="86">
        <v>10.0</v>
      </c>
      <c r="B14" s="210">
        <v>45680.0</v>
      </c>
      <c r="C14" s="86" t="s">
        <v>438</v>
      </c>
      <c r="D14" s="86" t="s">
        <v>375</v>
      </c>
      <c r="E14" s="86" t="s">
        <v>534</v>
      </c>
      <c r="F14" s="222">
        <v>1.0</v>
      </c>
      <c r="G14" s="223">
        <v>5580.0</v>
      </c>
    </row>
    <row r="15" ht="18.75" customHeight="1">
      <c r="A15" s="86">
        <v>11.0</v>
      </c>
      <c r="B15" s="210">
        <v>45680.0</v>
      </c>
      <c r="C15" s="86" t="s">
        <v>438</v>
      </c>
      <c r="D15" s="86" t="s">
        <v>320</v>
      </c>
      <c r="E15" s="86" t="s">
        <v>134</v>
      </c>
      <c r="F15" s="222">
        <v>1.0</v>
      </c>
      <c r="G15" s="223">
        <v>6200.0</v>
      </c>
    </row>
    <row r="16" ht="18.75" customHeight="1">
      <c r="A16" s="86">
        <v>12.0</v>
      </c>
      <c r="B16" s="210">
        <v>45680.0</v>
      </c>
      <c r="C16" s="86" t="s">
        <v>472</v>
      </c>
      <c r="D16" s="86" t="s">
        <v>208</v>
      </c>
      <c r="E16" s="86" t="s">
        <v>134</v>
      </c>
      <c r="F16" s="222">
        <v>1.0</v>
      </c>
      <c r="G16" s="223">
        <v>1800.0</v>
      </c>
    </row>
    <row r="17" ht="18.75" customHeight="1">
      <c r="A17" s="137">
        <v>13.0</v>
      </c>
      <c r="B17" s="210">
        <v>45681.0</v>
      </c>
      <c r="C17" s="86" t="s">
        <v>363</v>
      </c>
      <c r="D17" s="86" t="s">
        <v>535</v>
      </c>
      <c r="E17" s="86" t="s">
        <v>174</v>
      </c>
      <c r="F17" s="222">
        <v>1.0</v>
      </c>
      <c r="G17" s="223">
        <v>5850.0</v>
      </c>
    </row>
    <row r="18" ht="18.75" customHeight="1">
      <c r="A18" s="85">
        <v>14.0</v>
      </c>
      <c r="B18" s="210">
        <v>45692.0</v>
      </c>
      <c r="C18" s="86" t="s">
        <v>531</v>
      </c>
      <c r="D18" s="86" t="s">
        <v>109</v>
      </c>
      <c r="E18" s="86" t="s">
        <v>31</v>
      </c>
      <c r="F18" s="222">
        <v>1.0</v>
      </c>
      <c r="G18" s="223">
        <v>3000.0</v>
      </c>
    </row>
    <row r="19" ht="18.75" customHeight="1">
      <c r="A19" s="86">
        <v>15.0</v>
      </c>
      <c r="B19" s="210">
        <v>45692.0</v>
      </c>
      <c r="C19" s="86" t="s">
        <v>475</v>
      </c>
      <c r="D19" s="86" t="s">
        <v>267</v>
      </c>
      <c r="E19" s="86" t="s">
        <v>512</v>
      </c>
      <c r="F19" s="222">
        <v>1.0</v>
      </c>
      <c r="G19" s="223">
        <v>7200.0</v>
      </c>
    </row>
    <row r="20" ht="18.75" customHeight="1">
      <c r="A20" s="86">
        <v>16.0</v>
      </c>
      <c r="B20" s="210">
        <v>45693.0</v>
      </c>
      <c r="C20" s="86" t="s">
        <v>472</v>
      </c>
      <c r="D20" s="86" t="s">
        <v>537</v>
      </c>
      <c r="E20" s="86" t="s">
        <v>512</v>
      </c>
      <c r="F20" s="222">
        <v>1.0</v>
      </c>
      <c r="G20" s="223">
        <v>1800.0</v>
      </c>
    </row>
    <row r="21" ht="18.75" customHeight="1">
      <c r="A21" s="86">
        <v>17.0</v>
      </c>
      <c r="B21" s="210">
        <v>45695.0</v>
      </c>
      <c r="C21" s="86" t="s">
        <v>539</v>
      </c>
      <c r="D21" s="86" t="s">
        <v>540</v>
      </c>
      <c r="E21" s="86" t="s">
        <v>221</v>
      </c>
      <c r="F21" s="222">
        <v>2.0</v>
      </c>
      <c r="G21" s="223">
        <v>2800.0</v>
      </c>
    </row>
    <row r="22" ht="18.75" customHeight="1">
      <c r="A22" s="86">
        <v>18.0</v>
      </c>
      <c r="B22" s="210">
        <v>45695.0</v>
      </c>
      <c r="C22" s="86"/>
      <c r="D22" s="86"/>
      <c r="E22" s="86"/>
      <c r="F22" s="222"/>
      <c r="G22" s="223"/>
    </row>
    <row r="23" ht="18.75" customHeight="1">
      <c r="A23" s="137">
        <v>19.0</v>
      </c>
      <c r="B23" s="210"/>
      <c r="C23" s="86"/>
      <c r="D23" s="86"/>
      <c r="E23" s="86"/>
      <c r="F23" s="222"/>
      <c r="G23" s="223"/>
    </row>
    <row r="24" ht="18.75" customHeight="1">
      <c r="A24" s="85">
        <v>20.0</v>
      </c>
      <c r="B24" s="210"/>
      <c r="C24" s="86"/>
      <c r="D24" s="86"/>
      <c r="E24" s="86"/>
      <c r="F24" s="222"/>
      <c r="G24" s="223"/>
    </row>
    <row r="25" ht="18.75" customHeight="1">
      <c r="A25" s="86">
        <v>21.0</v>
      </c>
      <c r="B25" s="210"/>
      <c r="C25" s="86"/>
      <c r="D25" s="86"/>
      <c r="E25" s="86"/>
      <c r="F25" s="222"/>
      <c r="G25" s="223"/>
    </row>
    <row r="26" ht="18.75" customHeight="1">
      <c r="A26" s="86">
        <v>22.0</v>
      </c>
      <c r="B26" s="210"/>
      <c r="C26" s="86"/>
      <c r="D26" s="86"/>
      <c r="E26" s="86"/>
      <c r="F26" s="222"/>
      <c r="G26" s="223"/>
    </row>
    <row r="27" ht="18.75" customHeight="1">
      <c r="A27" s="86">
        <v>23.0</v>
      </c>
      <c r="B27" s="210"/>
      <c r="C27" s="86"/>
      <c r="D27" s="86"/>
      <c r="E27" s="86"/>
      <c r="F27" s="222"/>
      <c r="G27" s="223"/>
    </row>
    <row r="28" ht="18.75" customHeight="1">
      <c r="A28" s="86">
        <v>24.0</v>
      </c>
      <c r="B28" s="210"/>
      <c r="C28" s="86"/>
      <c r="D28" s="86"/>
      <c r="E28" s="86"/>
      <c r="F28" s="222"/>
      <c r="G28" s="223"/>
    </row>
    <row r="29" ht="18.75" customHeight="1">
      <c r="A29" s="137">
        <v>25.0</v>
      </c>
      <c r="B29" s="210"/>
      <c r="C29" s="86"/>
      <c r="D29" s="86"/>
      <c r="E29" s="86"/>
      <c r="F29" s="222"/>
      <c r="G29" s="223"/>
    </row>
    <row r="30" ht="18.75" customHeight="1">
      <c r="A30" s="150"/>
      <c r="B30" s="210"/>
      <c r="C30" s="87"/>
      <c r="D30" s="74"/>
      <c r="E30" s="74"/>
      <c r="F30" s="75"/>
      <c r="G30" s="211"/>
    </row>
    <row r="31" ht="18.75" customHeight="1">
      <c r="A31" s="150"/>
      <c r="B31" s="205"/>
      <c r="C31" s="87"/>
      <c r="D31" s="74"/>
      <c r="E31" s="74"/>
      <c r="F31" s="75"/>
      <c r="G31" s="212">
        <f>SUM(G4:G29)</f>
        <v>66380</v>
      </c>
    </row>
    <row r="32" ht="18.75" customHeight="1">
      <c r="A32" s="150"/>
      <c r="B32" s="205"/>
      <c r="C32" s="87"/>
      <c r="D32" s="74"/>
      <c r="E32" s="74"/>
      <c r="F32" s="75"/>
      <c r="G32" s="206"/>
    </row>
    <row r="33" ht="18.75" customHeight="1">
      <c r="A33" s="72"/>
      <c r="B33" s="205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5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73"/>
      <c r="C224" s="87"/>
      <c r="D224" s="74"/>
      <c r="E224" s="74"/>
      <c r="F224" s="72"/>
      <c r="G224" s="76"/>
    </row>
    <row r="225" ht="18.75" customHeight="1">
      <c r="A225" s="72"/>
      <c r="B225" s="73"/>
      <c r="C225" s="87"/>
      <c r="D225" s="74"/>
      <c r="E225" s="74"/>
      <c r="F225" s="72"/>
      <c r="G225" s="76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5.75" customHeight="1">
      <c r="B231" s="59"/>
    </row>
    <row r="232" ht="14.25" customHeight="1">
      <c r="B232" s="59"/>
    </row>
    <row r="233" ht="14.25" customHeight="1">
      <c r="B233" s="59"/>
    </row>
    <row r="234" ht="14.25" customHeight="1">
      <c r="B234" s="59"/>
    </row>
    <row r="235" ht="14.25" customHeight="1">
      <c r="B235" s="59"/>
    </row>
    <row r="236" ht="14.25" customHeight="1">
      <c r="B236" s="59"/>
    </row>
    <row r="237" ht="14.25" customHeight="1">
      <c r="B237" s="59"/>
    </row>
    <row r="238" ht="14.25" customHeight="1">
      <c r="B238" s="59"/>
    </row>
    <row r="239" ht="14.25" customHeight="1">
      <c r="B239" s="59"/>
    </row>
    <row r="240" ht="14.25" customHeight="1">
      <c r="B240" s="59"/>
    </row>
    <row r="241" ht="14.25" customHeight="1">
      <c r="B241" s="59"/>
    </row>
    <row r="242" ht="14.25" customHeight="1">
      <c r="B242" s="59"/>
    </row>
    <row r="243" ht="14.25" customHeight="1">
      <c r="B243" s="59"/>
    </row>
    <row r="244" ht="14.25" customHeight="1">
      <c r="B244" s="59"/>
    </row>
    <row r="245" ht="14.25" customHeight="1">
      <c r="B245" s="59"/>
    </row>
    <row r="246" ht="14.25" customHeight="1">
      <c r="B246" s="59"/>
    </row>
    <row r="247" ht="14.25" customHeight="1">
      <c r="B247" s="59"/>
    </row>
    <row r="248" ht="14.25" customHeight="1">
      <c r="B248" s="59"/>
    </row>
    <row r="249" ht="14.25" customHeight="1">
      <c r="B249" s="59"/>
    </row>
    <row r="250" ht="14.25" customHeight="1">
      <c r="B250" s="59"/>
    </row>
    <row r="251" ht="14.25" customHeight="1">
      <c r="B251" s="59"/>
    </row>
    <row r="252" ht="14.25" customHeight="1">
      <c r="B252" s="59"/>
    </row>
    <row r="253" ht="14.25" customHeight="1">
      <c r="B253" s="59"/>
    </row>
    <row r="254" ht="14.25" customHeight="1">
      <c r="B254" s="59"/>
    </row>
    <row r="255" ht="14.25" customHeight="1">
      <c r="B255" s="59"/>
    </row>
    <row r="256" ht="14.25" customHeight="1">
      <c r="B256" s="59"/>
    </row>
    <row r="257" ht="14.25" customHeight="1">
      <c r="B257" s="59"/>
    </row>
    <row r="258" ht="14.25" customHeight="1">
      <c r="B258" s="59"/>
    </row>
    <row r="259" ht="14.25" customHeight="1">
      <c r="B259" s="59"/>
    </row>
    <row r="260" ht="14.25" customHeight="1">
      <c r="B260" s="59"/>
    </row>
    <row r="261" ht="14.25" customHeight="1">
      <c r="B261" s="59"/>
    </row>
    <row r="262" ht="14.25" customHeight="1">
      <c r="B262" s="59"/>
    </row>
    <row r="263" ht="14.25" customHeight="1">
      <c r="B263" s="59"/>
    </row>
    <row r="264" ht="14.25" customHeight="1">
      <c r="B264" s="59"/>
    </row>
    <row r="265" ht="14.25" customHeight="1">
      <c r="B265" s="59"/>
    </row>
    <row r="266" ht="14.25" customHeight="1">
      <c r="B266" s="59"/>
    </row>
    <row r="267" ht="14.25" customHeight="1">
      <c r="B267" s="59"/>
    </row>
    <row r="268" ht="14.25" customHeight="1">
      <c r="B268" s="59"/>
    </row>
    <row r="269" ht="14.25" customHeight="1">
      <c r="B269" s="59"/>
    </row>
    <row r="270" ht="14.25" customHeight="1">
      <c r="B270" s="59"/>
    </row>
    <row r="271" ht="14.25" customHeight="1">
      <c r="B271" s="59"/>
    </row>
    <row r="272" ht="14.25" customHeight="1">
      <c r="B272" s="59"/>
    </row>
    <row r="273" ht="14.25" customHeight="1">
      <c r="B273" s="59"/>
    </row>
    <row r="274" ht="14.25" customHeight="1">
      <c r="B274" s="59"/>
    </row>
    <row r="275" ht="14.25" customHeight="1">
      <c r="B275" s="59"/>
    </row>
    <row r="276" ht="14.25" customHeight="1">
      <c r="B276" s="59"/>
    </row>
    <row r="277" ht="14.25" customHeight="1">
      <c r="B277" s="59"/>
    </row>
    <row r="278" ht="14.25" customHeight="1">
      <c r="B278" s="59"/>
    </row>
    <row r="279" ht="14.25" customHeight="1">
      <c r="B279" s="59"/>
    </row>
    <row r="280" ht="14.25" customHeight="1">
      <c r="B280" s="59"/>
    </row>
    <row r="281" ht="14.25" customHeight="1">
      <c r="B281" s="59"/>
    </row>
    <row r="282" ht="14.25" customHeight="1">
      <c r="B282" s="59"/>
    </row>
    <row r="283" ht="14.25" customHeight="1">
      <c r="B283" s="59"/>
    </row>
    <row r="284" ht="14.25" customHeight="1">
      <c r="B284" s="59"/>
    </row>
    <row r="285" ht="14.25" customHeight="1">
      <c r="B285" s="59"/>
    </row>
    <row r="286" ht="14.25" customHeight="1">
      <c r="B286" s="59"/>
    </row>
    <row r="287" ht="14.25" customHeight="1">
      <c r="B287" s="59"/>
    </row>
    <row r="288" ht="14.25" customHeight="1">
      <c r="B288" s="59"/>
    </row>
    <row r="289" ht="14.25" customHeight="1">
      <c r="B289" s="59"/>
    </row>
    <row r="290" ht="14.25" customHeight="1">
      <c r="B290" s="59"/>
    </row>
    <row r="291" ht="14.25" customHeight="1">
      <c r="B291" s="59"/>
    </row>
    <row r="292" ht="14.25" customHeight="1">
      <c r="B292" s="59"/>
    </row>
    <row r="293" ht="14.25" customHeight="1">
      <c r="B293" s="59"/>
    </row>
    <row r="294" ht="14.25" customHeight="1">
      <c r="B294" s="59"/>
    </row>
    <row r="295" ht="14.25" customHeight="1">
      <c r="B295" s="59"/>
    </row>
    <row r="296" ht="14.25" customHeight="1">
      <c r="B296" s="59"/>
    </row>
    <row r="297" ht="14.25" customHeight="1">
      <c r="B297" s="59"/>
    </row>
    <row r="298" ht="14.25" customHeight="1">
      <c r="B298" s="59"/>
    </row>
    <row r="299" ht="14.25" customHeight="1">
      <c r="B299" s="59"/>
    </row>
    <row r="300" ht="14.25" customHeight="1">
      <c r="B300" s="59"/>
    </row>
    <row r="301" ht="14.25" customHeight="1">
      <c r="B301" s="59"/>
    </row>
    <row r="302" ht="14.25" customHeight="1">
      <c r="B302" s="59"/>
    </row>
    <row r="303" ht="14.25" customHeight="1">
      <c r="B303" s="59"/>
    </row>
    <row r="304" ht="14.25" customHeight="1">
      <c r="B304" s="59"/>
    </row>
    <row r="305" ht="14.25" customHeight="1">
      <c r="B305" s="59"/>
    </row>
    <row r="306" ht="14.25" customHeight="1">
      <c r="B306" s="59"/>
    </row>
    <row r="307" ht="14.25" customHeight="1">
      <c r="B307" s="59"/>
    </row>
    <row r="308" ht="14.25" customHeight="1">
      <c r="B308" s="59"/>
    </row>
    <row r="309" ht="14.25" customHeight="1">
      <c r="B309" s="59"/>
    </row>
    <row r="310" ht="14.25" customHeight="1">
      <c r="B310" s="59"/>
    </row>
    <row r="311" ht="14.25" customHeight="1">
      <c r="B311" s="59"/>
    </row>
    <row r="312" ht="14.25" customHeight="1">
      <c r="B312" s="59"/>
    </row>
    <row r="313" ht="14.25" customHeight="1">
      <c r="B313" s="59"/>
    </row>
    <row r="314" ht="14.25" customHeight="1">
      <c r="B314" s="59"/>
    </row>
    <row r="315" ht="14.25" customHeight="1">
      <c r="B315" s="59"/>
    </row>
    <row r="316" ht="14.25" customHeight="1">
      <c r="B316" s="59"/>
    </row>
    <row r="317" ht="14.25" customHeight="1">
      <c r="B317" s="59"/>
    </row>
    <row r="318" ht="14.25" customHeight="1">
      <c r="B318" s="59"/>
    </row>
    <row r="319" ht="14.25" customHeight="1">
      <c r="B319" s="59"/>
    </row>
    <row r="320" ht="14.25" customHeight="1">
      <c r="B320" s="59"/>
    </row>
    <row r="321" ht="14.25" customHeight="1">
      <c r="B321" s="59"/>
    </row>
    <row r="322" ht="14.25" customHeight="1">
      <c r="B322" s="59"/>
    </row>
    <row r="323" ht="14.25" customHeight="1">
      <c r="B323" s="59"/>
    </row>
    <row r="324" ht="14.25" customHeight="1">
      <c r="B324" s="59"/>
    </row>
    <row r="325" ht="14.25" customHeight="1">
      <c r="B325" s="59"/>
    </row>
    <row r="326" ht="14.25" customHeight="1">
      <c r="B326" s="59"/>
    </row>
    <row r="327" ht="14.25" customHeight="1">
      <c r="B327" s="59"/>
    </row>
    <row r="328" ht="14.25" customHeight="1">
      <c r="B328" s="59"/>
    </row>
    <row r="329" ht="14.25" customHeight="1">
      <c r="B329" s="59"/>
    </row>
    <row r="330" ht="14.25" customHeight="1">
      <c r="B330" s="59"/>
    </row>
    <row r="331" ht="14.25" customHeight="1">
      <c r="B331" s="59"/>
    </row>
    <row r="332" ht="14.25" customHeight="1">
      <c r="B332" s="59"/>
    </row>
    <row r="333" ht="14.25" customHeight="1">
      <c r="B333" s="59"/>
    </row>
    <row r="334" ht="14.25" customHeight="1">
      <c r="B334" s="59"/>
    </row>
    <row r="335" ht="14.25" customHeight="1">
      <c r="B335" s="59"/>
    </row>
    <row r="336" ht="14.25" customHeight="1">
      <c r="B336" s="59"/>
    </row>
    <row r="337" ht="14.25" customHeight="1">
      <c r="B337" s="59"/>
    </row>
    <row r="338" ht="14.25" customHeight="1">
      <c r="B338" s="59"/>
    </row>
    <row r="339" ht="14.25" customHeight="1">
      <c r="B339" s="59"/>
    </row>
    <row r="340" ht="14.25" customHeight="1">
      <c r="B340" s="59"/>
    </row>
    <row r="341" ht="14.25" customHeight="1">
      <c r="B341" s="59"/>
    </row>
    <row r="342" ht="14.25" customHeight="1">
      <c r="B342" s="59"/>
    </row>
    <row r="343" ht="14.25" customHeight="1">
      <c r="B343" s="59"/>
    </row>
    <row r="344" ht="14.25" customHeight="1">
      <c r="B344" s="59"/>
    </row>
    <row r="345" ht="14.25" customHeight="1">
      <c r="B345" s="59"/>
    </row>
    <row r="346" ht="14.25" customHeight="1">
      <c r="B346" s="59"/>
    </row>
    <row r="347" ht="14.25" customHeight="1">
      <c r="B347" s="59"/>
    </row>
    <row r="348" ht="14.25" customHeight="1">
      <c r="B348" s="59"/>
    </row>
    <row r="349" ht="14.25" customHeight="1">
      <c r="B349" s="59"/>
    </row>
    <row r="350" ht="14.25" customHeight="1">
      <c r="B350" s="59"/>
    </row>
    <row r="351" ht="14.25" customHeight="1">
      <c r="B351" s="59"/>
    </row>
    <row r="352" ht="14.25" customHeight="1">
      <c r="B352" s="59"/>
    </row>
    <row r="353" ht="14.25" customHeight="1">
      <c r="B353" s="59"/>
    </row>
    <row r="354" ht="14.25" customHeight="1">
      <c r="B354" s="59"/>
    </row>
    <row r="355" ht="14.25" customHeight="1">
      <c r="B355" s="59"/>
    </row>
    <row r="356" ht="14.25" customHeight="1">
      <c r="B356" s="59"/>
    </row>
    <row r="357" ht="14.25" customHeight="1">
      <c r="B357" s="59"/>
    </row>
    <row r="358" ht="14.25" customHeight="1">
      <c r="B358" s="59"/>
    </row>
    <row r="359" ht="14.25" customHeight="1">
      <c r="B359" s="59"/>
    </row>
    <row r="360" ht="14.25" customHeight="1">
      <c r="B360" s="59"/>
    </row>
    <row r="361" ht="14.25" customHeight="1">
      <c r="B361" s="59"/>
    </row>
    <row r="362" ht="14.25" customHeight="1">
      <c r="B362" s="59"/>
    </row>
    <row r="363" ht="14.25" customHeight="1">
      <c r="B363" s="59"/>
    </row>
    <row r="364" ht="14.25" customHeight="1">
      <c r="B364" s="59"/>
    </row>
    <row r="365" ht="14.25" customHeight="1">
      <c r="B365" s="59"/>
    </row>
    <row r="366" ht="14.25" customHeight="1">
      <c r="B366" s="59"/>
    </row>
    <row r="367" ht="14.25" customHeight="1">
      <c r="B367" s="59"/>
    </row>
    <row r="368" ht="14.25" customHeight="1">
      <c r="B368" s="59"/>
    </row>
    <row r="369" ht="14.25" customHeight="1">
      <c r="B369" s="59"/>
    </row>
    <row r="370" ht="14.25" customHeight="1">
      <c r="B370" s="59"/>
    </row>
    <row r="371" ht="14.25" customHeight="1">
      <c r="B371" s="59"/>
    </row>
    <row r="372" ht="14.25" customHeight="1">
      <c r="B372" s="59"/>
    </row>
    <row r="373" ht="14.25" customHeight="1">
      <c r="B373" s="59"/>
    </row>
    <row r="374" ht="14.25" customHeight="1">
      <c r="B374" s="59"/>
    </row>
    <row r="375" ht="14.25" customHeight="1">
      <c r="B375" s="59"/>
    </row>
    <row r="376" ht="14.25" customHeight="1">
      <c r="B376" s="59"/>
    </row>
    <row r="377" ht="14.25" customHeight="1">
      <c r="B377" s="59"/>
    </row>
    <row r="378" ht="14.25" customHeight="1">
      <c r="B378" s="59"/>
    </row>
    <row r="379" ht="14.25" customHeight="1">
      <c r="B379" s="59"/>
    </row>
    <row r="380" ht="14.25" customHeight="1">
      <c r="B380" s="59"/>
    </row>
    <row r="381" ht="14.25" customHeight="1">
      <c r="B381" s="59"/>
    </row>
    <row r="382" ht="14.25" customHeight="1">
      <c r="B382" s="59"/>
    </row>
    <row r="383" ht="14.25" customHeight="1">
      <c r="B383" s="59"/>
    </row>
    <row r="384" ht="14.25" customHeight="1">
      <c r="B384" s="59"/>
    </row>
    <row r="385" ht="14.25" customHeight="1">
      <c r="B385" s="59"/>
    </row>
    <row r="386" ht="14.25" customHeight="1">
      <c r="B386" s="59"/>
    </row>
    <row r="387" ht="14.25" customHeight="1">
      <c r="B387" s="59"/>
    </row>
    <row r="388" ht="14.25" customHeight="1">
      <c r="B388" s="59"/>
    </row>
    <row r="389" ht="14.25" customHeight="1">
      <c r="B389" s="59"/>
    </row>
    <row r="390" ht="14.25" customHeight="1">
      <c r="B390" s="59"/>
    </row>
    <row r="391" ht="14.25" customHeight="1">
      <c r="B391" s="59"/>
    </row>
    <row r="392" ht="14.25" customHeight="1">
      <c r="B392" s="59"/>
    </row>
    <row r="393" ht="14.25" customHeight="1">
      <c r="B393" s="59"/>
    </row>
    <row r="394" ht="14.25" customHeight="1">
      <c r="B394" s="59"/>
    </row>
    <row r="395" ht="14.25" customHeight="1">
      <c r="B395" s="59"/>
    </row>
    <row r="396" ht="14.25" customHeight="1">
      <c r="B396" s="59"/>
    </row>
    <row r="397" ht="14.25" customHeight="1">
      <c r="B397" s="59"/>
    </row>
    <row r="398" ht="14.25" customHeight="1">
      <c r="B398" s="59"/>
    </row>
    <row r="399" ht="14.25" customHeight="1">
      <c r="B399" s="59"/>
    </row>
    <row r="400" ht="14.25" customHeight="1">
      <c r="B400" s="59"/>
    </row>
    <row r="401" ht="14.25" customHeight="1">
      <c r="B401" s="59"/>
    </row>
    <row r="402" ht="14.25" customHeight="1">
      <c r="B402" s="59"/>
    </row>
    <row r="403" ht="14.25" customHeight="1">
      <c r="B403" s="59"/>
    </row>
    <row r="404" ht="14.25" customHeight="1">
      <c r="B404" s="59"/>
    </row>
    <row r="405" ht="14.25" customHeight="1">
      <c r="B405" s="59"/>
    </row>
    <row r="406" ht="14.25" customHeight="1">
      <c r="B406" s="59"/>
    </row>
    <row r="407" ht="14.25" customHeight="1">
      <c r="B407" s="59"/>
    </row>
    <row r="408" ht="14.25" customHeight="1">
      <c r="B408" s="59"/>
    </row>
    <row r="409" ht="14.25" customHeight="1">
      <c r="B409" s="59"/>
    </row>
    <row r="410" ht="14.25" customHeight="1">
      <c r="B410" s="59"/>
    </row>
    <row r="411" ht="14.25" customHeight="1">
      <c r="B411" s="59"/>
    </row>
    <row r="412" ht="14.25" customHeight="1">
      <c r="B412" s="59"/>
    </row>
    <row r="413" ht="14.25" customHeight="1">
      <c r="B413" s="59"/>
    </row>
    <row r="414" ht="14.25" customHeight="1">
      <c r="B414" s="59"/>
    </row>
    <row r="415" ht="14.25" customHeight="1">
      <c r="B415" s="59"/>
    </row>
    <row r="416" ht="14.25" customHeight="1">
      <c r="B416" s="59"/>
    </row>
    <row r="417" ht="14.25" customHeight="1">
      <c r="B417" s="59"/>
    </row>
    <row r="418" ht="14.25" customHeight="1">
      <c r="B418" s="59"/>
    </row>
    <row r="419" ht="14.25" customHeight="1">
      <c r="B419" s="59"/>
    </row>
    <row r="420" ht="14.25" customHeight="1">
      <c r="B420" s="59"/>
    </row>
    <row r="421" ht="14.25" customHeight="1">
      <c r="B421" s="59"/>
    </row>
    <row r="422" ht="14.25" customHeight="1">
      <c r="B422" s="59"/>
    </row>
    <row r="423" ht="14.25" customHeight="1">
      <c r="B423" s="59"/>
    </row>
    <row r="424" ht="14.25" customHeight="1">
      <c r="B424" s="59"/>
    </row>
    <row r="425" ht="14.25" customHeight="1">
      <c r="B425" s="59"/>
    </row>
    <row r="426" ht="14.25" customHeight="1">
      <c r="B426" s="59"/>
    </row>
    <row r="427" ht="14.25" customHeight="1">
      <c r="B427" s="59"/>
    </row>
    <row r="428" ht="14.25" customHeight="1">
      <c r="B428" s="59"/>
    </row>
    <row r="429" ht="14.25" customHeight="1">
      <c r="B429" s="59"/>
    </row>
    <row r="430" ht="14.25" customHeight="1">
      <c r="B430" s="59"/>
    </row>
    <row r="431" ht="14.25" customHeight="1">
      <c r="B431" s="59"/>
    </row>
    <row r="432" ht="14.25" customHeight="1">
      <c r="B432" s="59"/>
    </row>
    <row r="433" ht="14.25" customHeight="1">
      <c r="B433" s="59"/>
    </row>
    <row r="434" ht="14.25" customHeight="1">
      <c r="B434" s="59"/>
    </row>
    <row r="435" ht="14.25" customHeight="1">
      <c r="B435" s="59"/>
    </row>
    <row r="436" ht="14.25" customHeight="1">
      <c r="B436" s="59"/>
    </row>
    <row r="437" ht="14.25" customHeight="1">
      <c r="B437" s="59"/>
    </row>
    <row r="438" ht="14.25" customHeight="1">
      <c r="B438" s="59"/>
    </row>
    <row r="439" ht="14.25" customHeight="1">
      <c r="B439" s="59"/>
    </row>
    <row r="440" ht="14.25" customHeight="1">
      <c r="B440" s="59"/>
    </row>
    <row r="441" ht="14.25" customHeight="1">
      <c r="B441" s="59"/>
    </row>
    <row r="442" ht="14.25" customHeight="1">
      <c r="B442" s="59"/>
    </row>
    <row r="443" ht="14.25" customHeight="1">
      <c r="B443" s="59"/>
    </row>
    <row r="444" ht="14.25" customHeight="1">
      <c r="B444" s="59"/>
    </row>
    <row r="445" ht="14.25" customHeight="1">
      <c r="B445" s="59"/>
    </row>
    <row r="446" ht="14.25" customHeight="1">
      <c r="B446" s="59"/>
    </row>
    <row r="447" ht="14.25" customHeight="1">
      <c r="B447" s="59"/>
    </row>
    <row r="448" ht="14.25" customHeight="1">
      <c r="B448" s="59"/>
    </row>
    <row r="449" ht="14.25" customHeight="1">
      <c r="B449" s="59"/>
    </row>
    <row r="450" ht="14.25" customHeight="1">
      <c r="B450" s="59"/>
    </row>
    <row r="451" ht="14.25" customHeight="1">
      <c r="B451" s="59"/>
    </row>
    <row r="452" ht="14.25" customHeight="1">
      <c r="B452" s="59"/>
    </row>
    <row r="453" ht="14.25" customHeight="1">
      <c r="B453" s="59"/>
    </row>
    <row r="454" ht="14.25" customHeight="1">
      <c r="B454" s="59"/>
    </row>
    <row r="455" ht="14.25" customHeight="1">
      <c r="B455" s="59"/>
    </row>
    <row r="456" ht="14.25" customHeight="1">
      <c r="B456" s="59"/>
    </row>
    <row r="457" ht="14.25" customHeight="1">
      <c r="B457" s="59"/>
    </row>
    <row r="458" ht="14.25" customHeight="1">
      <c r="B458" s="59"/>
    </row>
    <row r="459" ht="14.25" customHeight="1">
      <c r="B459" s="59"/>
    </row>
    <row r="460" ht="14.25" customHeight="1">
      <c r="B460" s="59"/>
    </row>
    <row r="461" ht="14.25" customHeight="1">
      <c r="B461" s="59"/>
    </row>
    <row r="462" ht="14.25" customHeight="1">
      <c r="B462" s="59"/>
    </row>
    <row r="463" ht="14.25" customHeight="1">
      <c r="B463" s="59"/>
    </row>
    <row r="464" ht="14.25" customHeight="1">
      <c r="B464" s="59"/>
    </row>
    <row r="465" ht="14.25" customHeight="1">
      <c r="B465" s="59"/>
    </row>
    <row r="466" ht="14.25" customHeight="1">
      <c r="B466" s="59"/>
    </row>
    <row r="467" ht="14.25" customHeight="1">
      <c r="B467" s="59"/>
    </row>
    <row r="468" ht="14.25" customHeight="1">
      <c r="B468" s="59"/>
    </row>
    <row r="469" ht="14.25" customHeight="1">
      <c r="B469" s="59"/>
    </row>
    <row r="470" ht="14.25" customHeight="1">
      <c r="B470" s="59"/>
    </row>
    <row r="471" ht="14.25" customHeight="1">
      <c r="B471" s="59"/>
    </row>
    <row r="472" ht="14.25" customHeight="1">
      <c r="B472" s="59"/>
    </row>
    <row r="473" ht="14.25" customHeight="1">
      <c r="B473" s="59"/>
    </row>
    <row r="474" ht="14.25" customHeight="1">
      <c r="B474" s="59"/>
    </row>
    <row r="475" ht="14.25" customHeight="1">
      <c r="B475" s="59"/>
    </row>
    <row r="476" ht="14.25" customHeight="1">
      <c r="B476" s="59"/>
    </row>
    <row r="477" ht="14.25" customHeight="1">
      <c r="B477" s="59"/>
    </row>
    <row r="478" ht="14.25" customHeight="1">
      <c r="B478" s="59"/>
    </row>
    <row r="479" ht="14.25" customHeight="1">
      <c r="B479" s="59"/>
    </row>
    <row r="480" ht="14.25" customHeight="1">
      <c r="B480" s="59"/>
    </row>
    <row r="481" ht="14.25" customHeight="1">
      <c r="B481" s="59"/>
    </row>
    <row r="482" ht="14.25" customHeight="1">
      <c r="B482" s="59"/>
    </row>
    <row r="483" ht="14.25" customHeight="1">
      <c r="B483" s="59"/>
    </row>
    <row r="484" ht="14.25" customHeight="1">
      <c r="B484" s="59"/>
    </row>
    <row r="485" ht="14.25" customHeight="1">
      <c r="B485" s="59"/>
    </row>
    <row r="486" ht="14.25" customHeight="1">
      <c r="B486" s="59"/>
    </row>
    <row r="487" ht="14.25" customHeight="1">
      <c r="B487" s="59"/>
    </row>
    <row r="488" ht="14.25" customHeight="1">
      <c r="B488" s="59"/>
    </row>
    <row r="489" ht="14.25" customHeight="1">
      <c r="B489" s="59"/>
    </row>
    <row r="490" ht="14.25" customHeight="1">
      <c r="B490" s="59"/>
    </row>
    <row r="491" ht="14.25" customHeight="1">
      <c r="B491" s="59"/>
    </row>
    <row r="492" ht="14.25" customHeight="1">
      <c r="B492" s="59"/>
    </row>
    <row r="493" ht="14.25" customHeight="1">
      <c r="B493" s="59"/>
    </row>
    <row r="494" ht="14.25" customHeight="1">
      <c r="B494" s="59"/>
    </row>
    <row r="495" ht="14.25" customHeight="1">
      <c r="B495" s="59"/>
    </row>
    <row r="496" ht="14.25" customHeight="1">
      <c r="B496" s="59"/>
    </row>
    <row r="497" ht="14.25" customHeight="1">
      <c r="B497" s="59"/>
    </row>
    <row r="498" ht="14.25" customHeight="1">
      <c r="B498" s="59"/>
    </row>
    <row r="499" ht="14.25" customHeight="1">
      <c r="B499" s="59"/>
    </row>
    <row r="500" ht="14.25" customHeight="1">
      <c r="B500" s="59"/>
    </row>
    <row r="501" ht="14.25" customHeight="1">
      <c r="B501" s="59"/>
    </row>
    <row r="502" ht="14.25" customHeight="1">
      <c r="B502" s="59"/>
    </row>
    <row r="503" ht="14.25" customHeight="1">
      <c r="B503" s="59"/>
    </row>
    <row r="504" ht="14.25" customHeight="1">
      <c r="B504" s="59"/>
    </row>
    <row r="505" ht="14.25" customHeight="1">
      <c r="B505" s="59"/>
    </row>
    <row r="506" ht="14.25" customHeight="1">
      <c r="B506" s="59"/>
    </row>
    <row r="507" ht="14.25" customHeight="1">
      <c r="B507" s="59"/>
    </row>
    <row r="508" ht="14.25" customHeight="1">
      <c r="B508" s="59"/>
    </row>
    <row r="509" ht="14.25" customHeight="1">
      <c r="B509" s="59"/>
    </row>
    <row r="510" ht="14.25" customHeight="1">
      <c r="B510" s="59"/>
    </row>
    <row r="511" ht="14.25" customHeight="1">
      <c r="B511" s="59"/>
    </row>
    <row r="512" ht="14.25" customHeight="1">
      <c r="B512" s="59"/>
    </row>
    <row r="513" ht="14.25" customHeight="1">
      <c r="B513" s="59"/>
    </row>
    <row r="514" ht="14.25" customHeight="1">
      <c r="B514" s="59"/>
    </row>
    <row r="515" ht="14.25" customHeight="1">
      <c r="B515" s="59"/>
    </row>
    <row r="516" ht="14.25" customHeight="1">
      <c r="B516" s="59"/>
    </row>
    <row r="517" ht="14.25" customHeight="1">
      <c r="B517" s="59"/>
    </row>
    <row r="518" ht="14.25" customHeight="1">
      <c r="B518" s="59"/>
    </row>
    <row r="519" ht="14.25" customHeight="1">
      <c r="B519" s="59"/>
    </row>
    <row r="520" ht="14.25" customHeight="1">
      <c r="B520" s="59"/>
    </row>
    <row r="521" ht="14.25" customHeight="1">
      <c r="B521" s="59"/>
    </row>
    <row r="522" ht="14.25" customHeight="1">
      <c r="B522" s="59"/>
    </row>
    <row r="523" ht="14.25" customHeight="1">
      <c r="B523" s="59"/>
    </row>
    <row r="524" ht="14.25" customHeight="1">
      <c r="B524" s="59"/>
    </row>
    <row r="525" ht="14.25" customHeight="1">
      <c r="B525" s="59"/>
    </row>
    <row r="526" ht="14.25" customHeight="1">
      <c r="B526" s="59"/>
    </row>
    <row r="527" ht="14.25" customHeight="1">
      <c r="B527" s="59"/>
    </row>
    <row r="528" ht="14.25" customHeight="1">
      <c r="B528" s="59"/>
    </row>
    <row r="529" ht="14.25" customHeight="1">
      <c r="B529" s="59"/>
    </row>
    <row r="530" ht="14.25" customHeight="1">
      <c r="B530" s="59"/>
    </row>
    <row r="531" ht="14.25" customHeight="1">
      <c r="B531" s="59"/>
    </row>
    <row r="532" ht="14.25" customHeight="1">
      <c r="B532" s="59"/>
    </row>
    <row r="533" ht="14.25" customHeight="1">
      <c r="B533" s="59"/>
    </row>
    <row r="534" ht="14.25" customHeight="1">
      <c r="B534" s="59"/>
    </row>
    <row r="535" ht="14.25" customHeight="1">
      <c r="B535" s="59"/>
    </row>
    <row r="536" ht="14.25" customHeight="1">
      <c r="B536" s="59"/>
    </row>
    <row r="537" ht="14.25" customHeight="1">
      <c r="B537" s="59"/>
    </row>
    <row r="538" ht="14.25" customHeight="1">
      <c r="B538" s="59"/>
    </row>
    <row r="539" ht="14.25" customHeight="1">
      <c r="B539" s="59"/>
    </row>
    <row r="540" ht="14.25" customHeight="1">
      <c r="B540" s="59"/>
    </row>
    <row r="541" ht="14.25" customHeight="1">
      <c r="B541" s="59"/>
    </row>
    <row r="542" ht="14.25" customHeight="1">
      <c r="B542" s="59"/>
    </row>
    <row r="543" ht="14.25" customHeight="1">
      <c r="B543" s="59"/>
    </row>
    <row r="544" ht="14.25" customHeight="1">
      <c r="B544" s="59"/>
    </row>
    <row r="545" ht="14.25" customHeight="1">
      <c r="B545" s="59"/>
    </row>
    <row r="546" ht="14.25" customHeight="1">
      <c r="B546" s="59"/>
    </row>
    <row r="547" ht="14.25" customHeight="1">
      <c r="B547" s="59"/>
    </row>
    <row r="548" ht="14.25" customHeight="1">
      <c r="B548" s="59"/>
    </row>
    <row r="549" ht="14.25" customHeight="1">
      <c r="B549" s="59"/>
    </row>
    <row r="550" ht="14.25" customHeight="1">
      <c r="B550" s="59"/>
    </row>
    <row r="551" ht="14.25" customHeight="1">
      <c r="B551" s="59"/>
    </row>
    <row r="552" ht="14.25" customHeight="1">
      <c r="B552" s="59"/>
    </row>
    <row r="553" ht="14.25" customHeight="1">
      <c r="B553" s="59"/>
    </row>
    <row r="554" ht="14.25" customHeight="1">
      <c r="B554" s="59"/>
    </row>
    <row r="555" ht="14.25" customHeight="1">
      <c r="B555" s="59"/>
    </row>
    <row r="556" ht="14.25" customHeight="1">
      <c r="B556" s="59"/>
    </row>
    <row r="557" ht="14.25" customHeight="1">
      <c r="B557" s="59"/>
    </row>
    <row r="558" ht="14.25" customHeight="1">
      <c r="B558" s="59"/>
    </row>
    <row r="559" ht="14.25" customHeight="1">
      <c r="B559" s="59"/>
    </row>
    <row r="560" ht="14.25" customHeight="1">
      <c r="B560" s="59"/>
    </row>
    <row r="561" ht="14.25" customHeight="1">
      <c r="B561" s="59"/>
    </row>
    <row r="562" ht="14.25" customHeight="1">
      <c r="B562" s="59"/>
    </row>
    <row r="563" ht="14.25" customHeight="1">
      <c r="B563" s="59"/>
    </row>
    <row r="564" ht="14.25" customHeight="1">
      <c r="B564" s="59"/>
    </row>
    <row r="565" ht="14.25" customHeight="1">
      <c r="B565" s="59"/>
    </row>
    <row r="566" ht="14.25" customHeight="1">
      <c r="B566" s="59"/>
    </row>
    <row r="567" ht="14.25" customHeight="1">
      <c r="B567" s="59"/>
    </row>
    <row r="568" ht="14.25" customHeight="1">
      <c r="B568" s="59"/>
    </row>
    <row r="569" ht="14.25" customHeight="1">
      <c r="B569" s="59"/>
    </row>
    <row r="570" ht="14.25" customHeight="1">
      <c r="B570" s="59"/>
    </row>
    <row r="571" ht="14.25" customHeight="1">
      <c r="B571" s="59"/>
    </row>
    <row r="572" ht="14.25" customHeight="1">
      <c r="B572" s="59"/>
    </row>
    <row r="573" ht="14.25" customHeight="1">
      <c r="B573" s="59"/>
    </row>
    <row r="574" ht="14.25" customHeight="1">
      <c r="B574" s="59"/>
    </row>
    <row r="575" ht="14.25" customHeight="1">
      <c r="B575" s="59"/>
    </row>
    <row r="576" ht="14.25" customHeight="1">
      <c r="B576" s="59"/>
    </row>
    <row r="577" ht="14.25" customHeight="1">
      <c r="B577" s="59"/>
    </row>
    <row r="578" ht="14.25" customHeight="1">
      <c r="B578" s="59"/>
    </row>
    <row r="579" ht="14.25" customHeight="1">
      <c r="B579" s="59"/>
    </row>
    <row r="580" ht="14.25" customHeight="1">
      <c r="B580" s="59"/>
    </row>
    <row r="581" ht="14.25" customHeight="1">
      <c r="B581" s="59"/>
    </row>
    <row r="582" ht="14.25" customHeight="1">
      <c r="B582" s="59"/>
    </row>
    <row r="583" ht="14.25" customHeight="1">
      <c r="B583" s="59"/>
    </row>
    <row r="584" ht="14.25" customHeight="1">
      <c r="B584" s="59"/>
    </row>
    <row r="585" ht="14.25" customHeight="1">
      <c r="B585" s="59"/>
    </row>
    <row r="586" ht="14.25" customHeight="1">
      <c r="B586" s="59"/>
    </row>
    <row r="587" ht="14.25" customHeight="1">
      <c r="B587" s="59"/>
    </row>
    <row r="588" ht="14.25" customHeight="1">
      <c r="B588" s="59"/>
    </row>
    <row r="589" ht="14.25" customHeight="1">
      <c r="B589" s="59"/>
    </row>
    <row r="590" ht="14.25" customHeight="1">
      <c r="B590" s="59"/>
    </row>
    <row r="591" ht="14.25" customHeight="1">
      <c r="B591" s="59"/>
    </row>
    <row r="592" ht="14.25" customHeight="1">
      <c r="B592" s="59"/>
    </row>
    <row r="593" ht="14.25" customHeight="1">
      <c r="B593" s="59"/>
    </row>
    <row r="594" ht="14.25" customHeight="1">
      <c r="B594" s="59"/>
    </row>
    <row r="595" ht="14.25" customHeight="1">
      <c r="B595" s="59"/>
    </row>
    <row r="596" ht="14.25" customHeight="1">
      <c r="B596" s="59"/>
    </row>
    <row r="597" ht="14.25" customHeight="1">
      <c r="B597" s="59"/>
    </row>
    <row r="598" ht="14.25" customHeight="1">
      <c r="B598" s="59"/>
    </row>
    <row r="599" ht="14.25" customHeight="1">
      <c r="B599" s="59"/>
    </row>
    <row r="600" ht="14.25" customHeight="1">
      <c r="B600" s="59"/>
    </row>
    <row r="601" ht="14.25" customHeight="1">
      <c r="B601" s="59"/>
    </row>
    <row r="602" ht="14.25" customHeight="1">
      <c r="B602" s="59"/>
    </row>
    <row r="603" ht="14.25" customHeight="1">
      <c r="B603" s="59"/>
    </row>
    <row r="604" ht="14.25" customHeight="1">
      <c r="B604" s="59"/>
    </row>
    <row r="605" ht="14.25" customHeight="1">
      <c r="B605" s="59"/>
    </row>
    <row r="606" ht="14.25" customHeight="1">
      <c r="B606" s="59"/>
    </row>
    <row r="607" ht="14.25" customHeight="1">
      <c r="B607" s="59"/>
    </row>
    <row r="608" ht="14.25" customHeight="1">
      <c r="B608" s="59"/>
    </row>
    <row r="609" ht="14.25" customHeight="1">
      <c r="B609" s="59"/>
    </row>
    <row r="610" ht="14.25" customHeight="1">
      <c r="B610" s="59"/>
    </row>
    <row r="611" ht="14.25" customHeight="1">
      <c r="B611" s="59"/>
    </row>
    <row r="612" ht="14.25" customHeight="1">
      <c r="B612" s="59"/>
    </row>
    <row r="613" ht="14.25" customHeight="1">
      <c r="B613" s="59"/>
    </row>
    <row r="614" ht="14.25" customHeight="1">
      <c r="B614" s="59"/>
    </row>
    <row r="615" ht="14.25" customHeight="1">
      <c r="B615" s="59"/>
    </row>
    <row r="616" ht="14.25" customHeight="1">
      <c r="B616" s="59"/>
    </row>
    <row r="617" ht="14.25" customHeight="1">
      <c r="B617" s="59"/>
    </row>
    <row r="618" ht="14.25" customHeight="1">
      <c r="B618" s="59"/>
    </row>
    <row r="619" ht="14.25" customHeight="1">
      <c r="B619" s="59"/>
    </row>
    <row r="620" ht="14.25" customHeight="1">
      <c r="B620" s="59"/>
    </row>
    <row r="621" ht="14.25" customHeight="1">
      <c r="B621" s="59"/>
    </row>
    <row r="622" ht="14.25" customHeight="1">
      <c r="B622" s="59"/>
    </row>
    <row r="623" ht="14.25" customHeight="1">
      <c r="B623" s="59"/>
    </row>
    <row r="624" ht="14.25" customHeight="1">
      <c r="B624" s="59"/>
    </row>
    <row r="625" ht="14.25" customHeight="1">
      <c r="B625" s="59"/>
    </row>
    <row r="626" ht="14.25" customHeight="1">
      <c r="B626" s="59"/>
    </row>
    <row r="627" ht="14.25" customHeight="1">
      <c r="B627" s="59"/>
    </row>
    <row r="628" ht="14.25" customHeight="1">
      <c r="B628" s="59"/>
    </row>
    <row r="629" ht="14.25" customHeight="1">
      <c r="B629" s="59"/>
    </row>
    <row r="630" ht="14.25" customHeight="1">
      <c r="B630" s="59"/>
    </row>
    <row r="631" ht="14.25" customHeight="1">
      <c r="B631" s="59"/>
    </row>
    <row r="632" ht="14.25" customHeight="1">
      <c r="B632" s="59"/>
    </row>
    <row r="633" ht="14.25" customHeight="1">
      <c r="B633" s="59"/>
    </row>
    <row r="634" ht="14.25" customHeight="1">
      <c r="B634" s="59"/>
    </row>
    <row r="635" ht="14.25" customHeight="1">
      <c r="B635" s="59"/>
    </row>
    <row r="636" ht="14.25" customHeight="1">
      <c r="B636" s="59"/>
    </row>
    <row r="637" ht="14.25" customHeight="1">
      <c r="B637" s="59"/>
    </row>
    <row r="638" ht="14.25" customHeight="1">
      <c r="B638" s="59"/>
    </row>
    <row r="639" ht="14.25" customHeight="1">
      <c r="B639" s="59"/>
    </row>
    <row r="640" ht="14.25" customHeight="1">
      <c r="B640" s="59"/>
    </row>
    <row r="641" ht="14.25" customHeight="1">
      <c r="B641" s="59"/>
    </row>
    <row r="642" ht="14.25" customHeight="1">
      <c r="B642" s="59"/>
    </row>
    <row r="643" ht="14.25" customHeight="1">
      <c r="B643" s="59"/>
    </row>
    <row r="644" ht="14.25" customHeight="1">
      <c r="B644" s="59"/>
    </row>
    <row r="645" ht="14.25" customHeight="1">
      <c r="B645" s="59"/>
    </row>
    <row r="646" ht="14.25" customHeight="1">
      <c r="B646" s="59"/>
    </row>
    <row r="647" ht="14.25" customHeight="1">
      <c r="B647" s="59"/>
    </row>
    <row r="648" ht="14.25" customHeight="1">
      <c r="B648" s="59"/>
    </row>
    <row r="649" ht="14.25" customHeight="1">
      <c r="B649" s="59"/>
    </row>
    <row r="650" ht="14.25" customHeight="1">
      <c r="B650" s="59"/>
    </row>
    <row r="651" ht="14.25" customHeight="1">
      <c r="B651" s="59"/>
    </row>
    <row r="652" ht="14.25" customHeight="1">
      <c r="B652" s="59"/>
    </row>
    <row r="653" ht="14.25" customHeight="1">
      <c r="B653" s="59"/>
    </row>
    <row r="654" ht="14.25" customHeight="1">
      <c r="B654" s="59"/>
    </row>
    <row r="655" ht="14.25" customHeight="1">
      <c r="B655" s="59"/>
    </row>
    <row r="656" ht="14.25" customHeight="1">
      <c r="B656" s="59"/>
    </row>
    <row r="657" ht="14.25" customHeight="1">
      <c r="B657" s="59"/>
    </row>
    <row r="658" ht="14.25" customHeight="1">
      <c r="B658" s="59"/>
    </row>
    <row r="659" ht="14.25" customHeight="1">
      <c r="B659" s="59"/>
    </row>
    <row r="660" ht="14.25" customHeight="1">
      <c r="B660" s="59"/>
    </row>
    <row r="661" ht="14.25" customHeight="1">
      <c r="B661" s="59"/>
    </row>
    <row r="662" ht="14.25" customHeight="1">
      <c r="B662" s="59"/>
    </row>
    <row r="663" ht="14.25" customHeight="1">
      <c r="B663" s="59"/>
    </row>
    <row r="664" ht="14.25" customHeight="1">
      <c r="B664" s="59"/>
    </row>
    <row r="665" ht="14.25" customHeight="1">
      <c r="B665" s="59"/>
    </row>
    <row r="666" ht="14.25" customHeight="1">
      <c r="B666" s="59"/>
    </row>
    <row r="667" ht="14.25" customHeight="1">
      <c r="B667" s="59"/>
    </row>
    <row r="668" ht="14.25" customHeight="1">
      <c r="B668" s="59"/>
    </row>
    <row r="669" ht="14.25" customHeight="1">
      <c r="B669" s="59"/>
    </row>
    <row r="670" ht="14.25" customHeight="1">
      <c r="B670" s="59"/>
    </row>
    <row r="671" ht="14.25" customHeight="1">
      <c r="B671" s="59"/>
    </row>
    <row r="672" ht="14.25" customHeight="1">
      <c r="B672" s="59"/>
    </row>
    <row r="673" ht="14.25" customHeight="1">
      <c r="B673" s="59"/>
    </row>
    <row r="674" ht="14.25" customHeight="1">
      <c r="B674" s="59"/>
    </row>
    <row r="675" ht="14.25" customHeight="1">
      <c r="B675" s="59"/>
    </row>
    <row r="676" ht="14.25" customHeight="1">
      <c r="B676" s="59"/>
    </row>
    <row r="677" ht="14.25" customHeight="1">
      <c r="B677" s="59"/>
    </row>
    <row r="678" ht="14.25" customHeight="1">
      <c r="B678" s="59"/>
    </row>
    <row r="679" ht="14.25" customHeight="1">
      <c r="B679" s="59"/>
    </row>
    <row r="680" ht="14.25" customHeight="1">
      <c r="B680" s="59"/>
    </row>
    <row r="681" ht="14.25" customHeight="1">
      <c r="B681" s="59"/>
    </row>
    <row r="682" ht="14.25" customHeight="1">
      <c r="B682" s="59"/>
    </row>
    <row r="683" ht="14.25" customHeight="1">
      <c r="B683" s="59"/>
    </row>
    <row r="684" ht="14.25" customHeight="1">
      <c r="B684" s="59"/>
    </row>
    <row r="685" ht="14.25" customHeight="1">
      <c r="B685" s="59"/>
    </row>
    <row r="686" ht="14.25" customHeight="1">
      <c r="B686" s="59"/>
    </row>
    <row r="687" ht="14.25" customHeight="1">
      <c r="B687" s="59"/>
    </row>
    <row r="688" ht="14.25" customHeight="1">
      <c r="B688" s="59"/>
    </row>
    <row r="689" ht="14.25" customHeight="1">
      <c r="B689" s="59"/>
    </row>
    <row r="690" ht="14.25" customHeight="1">
      <c r="B690" s="59"/>
    </row>
    <row r="691" ht="14.25" customHeight="1">
      <c r="B691" s="59"/>
    </row>
    <row r="692" ht="14.25" customHeight="1">
      <c r="B692" s="59"/>
    </row>
    <row r="693" ht="14.25" customHeight="1">
      <c r="B693" s="59"/>
    </row>
    <row r="694" ht="14.25" customHeight="1">
      <c r="B694" s="59"/>
    </row>
    <row r="695" ht="14.25" customHeight="1">
      <c r="B695" s="59"/>
    </row>
    <row r="696" ht="14.25" customHeight="1">
      <c r="B696" s="59"/>
    </row>
    <row r="697" ht="14.25" customHeight="1">
      <c r="B697" s="59"/>
    </row>
    <row r="698" ht="14.25" customHeight="1">
      <c r="B698" s="59"/>
    </row>
    <row r="699" ht="14.25" customHeight="1">
      <c r="B699" s="59"/>
    </row>
    <row r="700" ht="14.25" customHeight="1">
      <c r="B700" s="59"/>
    </row>
    <row r="701" ht="14.25" customHeight="1">
      <c r="B701" s="59"/>
    </row>
    <row r="702" ht="14.25" customHeight="1">
      <c r="B702" s="59"/>
    </row>
    <row r="703" ht="14.25" customHeight="1">
      <c r="B703" s="59"/>
    </row>
    <row r="704" ht="14.25" customHeight="1">
      <c r="B704" s="59"/>
    </row>
    <row r="705" ht="14.25" customHeight="1">
      <c r="B705" s="59"/>
    </row>
    <row r="706" ht="14.25" customHeight="1">
      <c r="B706" s="59"/>
    </row>
    <row r="707" ht="14.25" customHeight="1">
      <c r="B707" s="59"/>
    </row>
    <row r="708" ht="14.25" customHeight="1">
      <c r="B708" s="59"/>
    </row>
    <row r="709" ht="14.25" customHeight="1">
      <c r="B709" s="59"/>
    </row>
    <row r="710" ht="14.25" customHeight="1">
      <c r="B710" s="59"/>
    </row>
    <row r="711" ht="14.25" customHeight="1">
      <c r="B711" s="59"/>
    </row>
    <row r="712" ht="14.25" customHeight="1">
      <c r="B712" s="59"/>
    </row>
    <row r="713" ht="14.25" customHeight="1">
      <c r="B713" s="59"/>
    </row>
    <row r="714" ht="14.25" customHeight="1">
      <c r="B714" s="59"/>
    </row>
    <row r="715" ht="14.25" customHeight="1">
      <c r="B715" s="59"/>
    </row>
    <row r="716" ht="14.25" customHeight="1">
      <c r="B716" s="59"/>
    </row>
    <row r="717" ht="14.25" customHeight="1">
      <c r="B717" s="59"/>
    </row>
    <row r="718" ht="14.25" customHeight="1">
      <c r="B718" s="59"/>
    </row>
    <row r="719" ht="14.25" customHeight="1">
      <c r="B719" s="59"/>
    </row>
    <row r="720" ht="14.25" customHeight="1">
      <c r="B720" s="59"/>
    </row>
    <row r="721" ht="14.25" customHeight="1">
      <c r="B721" s="59"/>
    </row>
    <row r="722" ht="14.25" customHeight="1">
      <c r="B722" s="59"/>
    </row>
    <row r="723" ht="14.25" customHeight="1">
      <c r="B723" s="59"/>
    </row>
    <row r="724" ht="14.25" customHeight="1">
      <c r="B724" s="59"/>
    </row>
    <row r="725" ht="14.25" customHeight="1">
      <c r="B725" s="59"/>
    </row>
    <row r="726" ht="14.25" customHeight="1">
      <c r="B726" s="59"/>
    </row>
    <row r="727" ht="14.25" customHeight="1">
      <c r="B727" s="59"/>
    </row>
    <row r="728" ht="14.25" customHeight="1">
      <c r="B728" s="59"/>
    </row>
    <row r="729" ht="14.25" customHeight="1">
      <c r="B729" s="59"/>
    </row>
    <row r="730" ht="14.25" customHeight="1">
      <c r="B730" s="59"/>
    </row>
    <row r="731" ht="14.25" customHeight="1">
      <c r="B731" s="59"/>
    </row>
    <row r="732" ht="14.25" customHeight="1">
      <c r="B732" s="59"/>
    </row>
    <row r="733" ht="14.25" customHeight="1">
      <c r="B733" s="59"/>
    </row>
    <row r="734" ht="14.25" customHeight="1">
      <c r="B734" s="59"/>
    </row>
    <row r="735" ht="14.25" customHeight="1">
      <c r="B735" s="59"/>
    </row>
    <row r="736" ht="14.25" customHeight="1">
      <c r="B736" s="59"/>
    </row>
    <row r="737" ht="14.25" customHeight="1">
      <c r="B737" s="59"/>
    </row>
    <row r="738" ht="14.25" customHeight="1">
      <c r="B738" s="59"/>
    </row>
    <row r="739" ht="14.25" customHeight="1">
      <c r="B739" s="59"/>
    </row>
    <row r="740" ht="14.25" customHeight="1">
      <c r="B740" s="59"/>
    </row>
    <row r="741" ht="14.25" customHeight="1">
      <c r="B741" s="59"/>
    </row>
    <row r="742" ht="14.25" customHeight="1">
      <c r="B742" s="59"/>
    </row>
    <row r="743" ht="14.25" customHeight="1">
      <c r="B743" s="59"/>
    </row>
    <row r="744" ht="14.25" customHeight="1">
      <c r="B744" s="59"/>
    </row>
    <row r="745" ht="14.25" customHeight="1">
      <c r="B745" s="59"/>
    </row>
    <row r="746" ht="14.25" customHeight="1">
      <c r="B746" s="59"/>
    </row>
    <row r="747" ht="14.25" customHeight="1">
      <c r="B747" s="59"/>
    </row>
    <row r="748" ht="14.25" customHeight="1">
      <c r="B748" s="59"/>
    </row>
    <row r="749" ht="14.25" customHeight="1">
      <c r="B749" s="59"/>
    </row>
    <row r="750" ht="14.25" customHeight="1">
      <c r="B750" s="59"/>
    </row>
    <row r="751" ht="14.25" customHeight="1">
      <c r="B751" s="59"/>
    </row>
    <row r="752" ht="14.25" customHeight="1">
      <c r="B752" s="59"/>
    </row>
    <row r="753" ht="14.25" customHeight="1">
      <c r="B753" s="59"/>
    </row>
    <row r="754" ht="14.25" customHeight="1">
      <c r="B754" s="59"/>
    </row>
    <row r="755" ht="14.25" customHeight="1">
      <c r="B755" s="59"/>
    </row>
    <row r="756" ht="14.25" customHeight="1">
      <c r="B756" s="59"/>
    </row>
    <row r="757" ht="14.25" customHeight="1">
      <c r="B757" s="59"/>
    </row>
    <row r="758" ht="14.25" customHeight="1">
      <c r="B758" s="59"/>
    </row>
    <row r="759" ht="14.25" customHeight="1">
      <c r="B759" s="59"/>
    </row>
    <row r="760" ht="14.25" customHeight="1">
      <c r="B760" s="59"/>
    </row>
    <row r="761" ht="14.25" customHeight="1">
      <c r="B761" s="59"/>
    </row>
    <row r="762" ht="14.25" customHeight="1">
      <c r="B762" s="59"/>
    </row>
    <row r="763" ht="14.25" customHeight="1">
      <c r="B763" s="59"/>
    </row>
    <row r="764" ht="14.25" customHeight="1">
      <c r="B764" s="59"/>
    </row>
    <row r="765" ht="14.25" customHeight="1">
      <c r="B765" s="59"/>
    </row>
    <row r="766" ht="14.25" customHeight="1">
      <c r="B766" s="59"/>
    </row>
    <row r="767" ht="14.25" customHeight="1">
      <c r="B767" s="59"/>
    </row>
    <row r="768" ht="14.25" customHeight="1">
      <c r="B768" s="59"/>
    </row>
    <row r="769" ht="14.25" customHeight="1">
      <c r="B769" s="59"/>
    </row>
    <row r="770" ht="14.25" customHeight="1">
      <c r="B770" s="59"/>
    </row>
    <row r="771" ht="14.25" customHeight="1">
      <c r="B771" s="59"/>
    </row>
    <row r="772" ht="14.25" customHeight="1">
      <c r="B772" s="59"/>
    </row>
    <row r="773" ht="14.25" customHeight="1">
      <c r="B773" s="59"/>
    </row>
    <row r="774" ht="14.25" customHeight="1">
      <c r="B774" s="59"/>
    </row>
    <row r="775" ht="14.25" customHeight="1">
      <c r="B775" s="59"/>
    </row>
    <row r="776" ht="14.25" customHeight="1">
      <c r="B776" s="59"/>
    </row>
    <row r="777" ht="14.25" customHeight="1">
      <c r="B777" s="59"/>
    </row>
    <row r="778" ht="14.25" customHeight="1">
      <c r="B778" s="59"/>
    </row>
    <row r="779" ht="14.25" customHeight="1">
      <c r="B779" s="59"/>
    </row>
    <row r="780" ht="14.25" customHeight="1">
      <c r="B780" s="59"/>
    </row>
    <row r="781" ht="14.25" customHeight="1">
      <c r="B781" s="59"/>
    </row>
    <row r="782" ht="14.25" customHeight="1">
      <c r="B782" s="59"/>
    </row>
    <row r="783" ht="14.25" customHeight="1">
      <c r="B783" s="59"/>
    </row>
    <row r="784" ht="14.25" customHeight="1">
      <c r="B784" s="59"/>
    </row>
    <row r="785" ht="14.25" customHeight="1">
      <c r="B785" s="59"/>
    </row>
    <row r="786" ht="14.25" customHeight="1">
      <c r="B786" s="59"/>
    </row>
    <row r="787" ht="14.25" customHeight="1">
      <c r="B787" s="59"/>
    </row>
    <row r="788" ht="14.25" customHeight="1">
      <c r="B788" s="59"/>
    </row>
    <row r="789" ht="14.25" customHeight="1">
      <c r="B789" s="59"/>
    </row>
    <row r="790" ht="14.25" customHeight="1">
      <c r="B790" s="59"/>
    </row>
    <row r="791" ht="14.25" customHeight="1">
      <c r="B791" s="59"/>
    </row>
    <row r="792" ht="14.25" customHeight="1">
      <c r="B792" s="59"/>
    </row>
    <row r="793" ht="14.25" customHeight="1">
      <c r="B793" s="59"/>
    </row>
    <row r="794" ht="14.25" customHeight="1">
      <c r="B794" s="59"/>
    </row>
    <row r="795" ht="14.25" customHeight="1">
      <c r="B795" s="59"/>
    </row>
    <row r="796" ht="14.25" customHeight="1">
      <c r="B796" s="59"/>
    </row>
    <row r="797" ht="14.25" customHeight="1">
      <c r="B797" s="59"/>
    </row>
    <row r="798" ht="14.25" customHeight="1">
      <c r="B798" s="59"/>
    </row>
    <row r="799" ht="14.25" customHeight="1">
      <c r="B799" s="59"/>
    </row>
    <row r="800" ht="14.25" customHeight="1">
      <c r="B800" s="59"/>
    </row>
    <row r="801" ht="14.25" customHeight="1">
      <c r="B801" s="59"/>
    </row>
    <row r="802" ht="14.25" customHeight="1">
      <c r="B802" s="59"/>
    </row>
    <row r="803" ht="14.25" customHeight="1">
      <c r="B803" s="59"/>
    </row>
    <row r="804" ht="14.25" customHeight="1">
      <c r="B804" s="59"/>
    </row>
    <row r="805" ht="14.25" customHeight="1">
      <c r="B805" s="59"/>
    </row>
    <row r="806" ht="14.25" customHeight="1">
      <c r="B806" s="59"/>
    </row>
    <row r="807" ht="14.25" customHeight="1">
      <c r="B807" s="59"/>
    </row>
    <row r="808" ht="14.25" customHeight="1">
      <c r="B808" s="59"/>
    </row>
    <row r="809" ht="14.25" customHeight="1">
      <c r="B809" s="59"/>
    </row>
    <row r="810" ht="14.25" customHeight="1">
      <c r="B810" s="59"/>
    </row>
    <row r="811" ht="14.25" customHeight="1">
      <c r="B811" s="59"/>
    </row>
    <row r="812" ht="14.25" customHeight="1">
      <c r="B812" s="59"/>
    </row>
    <row r="813" ht="14.25" customHeight="1">
      <c r="B813" s="59"/>
    </row>
    <row r="814" ht="14.25" customHeight="1">
      <c r="B814" s="59"/>
    </row>
    <row r="815" ht="14.25" customHeight="1">
      <c r="B815" s="59"/>
    </row>
    <row r="816" ht="14.25" customHeight="1">
      <c r="B816" s="59"/>
    </row>
    <row r="817" ht="14.25" customHeight="1">
      <c r="B817" s="59"/>
    </row>
    <row r="818" ht="14.25" customHeight="1">
      <c r="B818" s="59"/>
    </row>
    <row r="819" ht="14.25" customHeight="1">
      <c r="B819" s="59"/>
    </row>
    <row r="820" ht="14.25" customHeight="1">
      <c r="B820" s="59"/>
    </row>
    <row r="821" ht="14.25" customHeight="1">
      <c r="B821" s="59"/>
    </row>
    <row r="822" ht="14.25" customHeight="1">
      <c r="B822" s="59"/>
    </row>
    <row r="823" ht="14.25" customHeight="1">
      <c r="B823" s="59"/>
    </row>
    <row r="824" ht="14.25" customHeight="1">
      <c r="B824" s="59"/>
    </row>
    <row r="825" ht="14.25" customHeight="1">
      <c r="B825" s="59"/>
    </row>
    <row r="826" ht="14.25" customHeight="1">
      <c r="B826" s="59"/>
    </row>
    <row r="827" ht="14.25" customHeight="1">
      <c r="B827" s="59"/>
    </row>
    <row r="828" ht="14.25" customHeight="1">
      <c r="B828" s="59"/>
    </row>
    <row r="829" ht="14.25" customHeight="1">
      <c r="B829" s="59"/>
    </row>
    <row r="830" ht="14.25" customHeight="1">
      <c r="B830" s="59"/>
    </row>
    <row r="831" ht="14.25" customHeight="1">
      <c r="B831" s="59"/>
    </row>
    <row r="832" ht="14.25" customHeight="1">
      <c r="B832" s="59"/>
    </row>
    <row r="833" ht="14.25" customHeight="1">
      <c r="B833" s="59"/>
    </row>
    <row r="834" ht="14.25" customHeight="1">
      <c r="B834" s="59"/>
    </row>
    <row r="835" ht="14.25" customHeight="1">
      <c r="B835" s="59"/>
    </row>
    <row r="836" ht="14.25" customHeight="1">
      <c r="B836" s="59"/>
    </row>
    <row r="837" ht="14.25" customHeight="1">
      <c r="B837" s="59"/>
    </row>
    <row r="838" ht="14.25" customHeight="1">
      <c r="B838" s="59"/>
    </row>
    <row r="839" ht="14.25" customHeight="1">
      <c r="B839" s="59"/>
    </row>
    <row r="840" ht="14.25" customHeight="1">
      <c r="B840" s="59"/>
    </row>
    <row r="841" ht="14.25" customHeight="1">
      <c r="B841" s="59"/>
    </row>
    <row r="842" ht="14.25" customHeight="1">
      <c r="B842" s="59"/>
    </row>
    <row r="843" ht="14.25" customHeight="1">
      <c r="B843" s="59"/>
    </row>
    <row r="844" ht="14.25" customHeight="1">
      <c r="B844" s="59"/>
    </row>
    <row r="845" ht="14.25" customHeight="1">
      <c r="B845" s="59"/>
    </row>
    <row r="846" ht="14.25" customHeight="1">
      <c r="B846" s="59"/>
    </row>
    <row r="847" ht="14.25" customHeight="1">
      <c r="B847" s="59"/>
    </row>
    <row r="848" ht="14.25" customHeight="1">
      <c r="B848" s="59"/>
    </row>
    <row r="849" ht="14.25" customHeight="1">
      <c r="B849" s="59"/>
    </row>
    <row r="850" ht="14.25" customHeight="1">
      <c r="B850" s="59"/>
    </row>
    <row r="851" ht="14.25" customHeight="1">
      <c r="B851" s="59"/>
    </row>
    <row r="852" ht="14.25" customHeight="1">
      <c r="B852" s="59"/>
    </row>
    <row r="853" ht="14.25" customHeight="1">
      <c r="B853" s="59"/>
    </row>
    <row r="854" ht="14.25" customHeight="1">
      <c r="B854" s="59"/>
    </row>
    <row r="855" ht="14.25" customHeight="1">
      <c r="B855" s="59"/>
    </row>
    <row r="856" ht="14.25" customHeight="1">
      <c r="B856" s="59"/>
    </row>
    <row r="857" ht="14.25" customHeight="1">
      <c r="B857" s="59"/>
    </row>
    <row r="858" ht="14.25" customHeight="1">
      <c r="B858" s="59"/>
    </row>
    <row r="859" ht="14.25" customHeight="1">
      <c r="B859" s="59"/>
    </row>
    <row r="860" ht="14.25" customHeight="1">
      <c r="B860" s="59"/>
    </row>
    <row r="861" ht="14.25" customHeight="1">
      <c r="B861" s="59"/>
    </row>
    <row r="862" ht="14.25" customHeight="1">
      <c r="B862" s="59"/>
    </row>
    <row r="863" ht="14.25" customHeight="1">
      <c r="B863" s="59"/>
    </row>
    <row r="864" ht="14.25" customHeight="1">
      <c r="B864" s="59"/>
    </row>
    <row r="865" ht="14.25" customHeight="1">
      <c r="B865" s="59"/>
    </row>
    <row r="866" ht="14.25" customHeight="1">
      <c r="B866" s="59"/>
    </row>
    <row r="867" ht="14.25" customHeight="1">
      <c r="B867" s="59"/>
    </row>
    <row r="868" ht="14.25" customHeight="1">
      <c r="B868" s="59"/>
    </row>
    <row r="869" ht="14.25" customHeight="1">
      <c r="B869" s="59"/>
    </row>
    <row r="870" ht="14.25" customHeight="1">
      <c r="B870" s="59"/>
    </row>
    <row r="871" ht="14.25" customHeight="1">
      <c r="B871" s="59"/>
    </row>
    <row r="872" ht="14.25" customHeight="1">
      <c r="B872" s="59"/>
    </row>
    <row r="873" ht="14.25" customHeight="1">
      <c r="B873" s="59"/>
    </row>
    <row r="874" ht="14.25" customHeight="1">
      <c r="B874" s="59"/>
    </row>
    <row r="875" ht="14.25" customHeight="1">
      <c r="B875" s="59"/>
    </row>
    <row r="876" ht="14.25" customHeight="1">
      <c r="B876" s="59"/>
    </row>
    <row r="877" ht="14.25" customHeight="1">
      <c r="B877" s="59"/>
    </row>
    <row r="878" ht="14.25" customHeight="1">
      <c r="B878" s="59"/>
    </row>
    <row r="879" ht="14.25" customHeight="1">
      <c r="B879" s="59"/>
    </row>
    <row r="880" ht="14.25" customHeight="1">
      <c r="B880" s="59"/>
    </row>
    <row r="881" ht="14.25" customHeight="1">
      <c r="B881" s="59"/>
    </row>
    <row r="882" ht="14.25" customHeight="1">
      <c r="B882" s="59"/>
    </row>
    <row r="883" ht="14.25" customHeight="1">
      <c r="B883" s="59"/>
    </row>
    <row r="884" ht="14.25" customHeight="1">
      <c r="B884" s="59"/>
    </row>
    <row r="885" ht="14.25" customHeight="1">
      <c r="B885" s="59"/>
    </row>
    <row r="886" ht="14.25" customHeight="1">
      <c r="B886" s="59"/>
    </row>
    <row r="887" ht="14.25" customHeight="1">
      <c r="B887" s="59"/>
    </row>
    <row r="888" ht="14.25" customHeight="1">
      <c r="B888" s="59"/>
    </row>
    <row r="889" ht="14.25" customHeight="1">
      <c r="B889" s="59"/>
    </row>
    <row r="890" ht="14.25" customHeight="1">
      <c r="B890" s="59"/>
    </row>
    <row r="891" ht="14.25" customHeight="1">
      <c r="B891" s="59"/>
    </row>
    <row r="892" ht="14.25" customHeight="1">
      <c r="B892" s="59"/>
    </row>
    <row r="893" ht="14.25" customHeight="1">
      <c r="B893" s="59"/>
    </row>
    <row r="894" ht="14.25" customHeight="1">
      <c r="B894" s="59"/>
    </row>
    <row r="895" ht="14.25" customHeight="1">
      <c r="B895" s="59"/>
    </row>
    <row r="896" ht="14.25" customHeight="1">
      <c r="B896" s="59"/>
    </row>
    <row r="897" ht="14.25" customHeight="1">
      <c r="B897" s="59"/>
    </row>
    <row r="898" ht="14.25" customHeight="1">
      <c r="B898" s="59"/>
    </row>
    <row r="899" ht="14.25" customHeight="1">
      <c r="B899" s="59"/>
    </row>
    <row r="900" ht="14.25" customHeight="1">
      <c r="B900" s="59"/>
    </row>
    <row r="901" ht="14.25" customHeight="1">
      <c r="B901" s="59"/>
    </row>
    <row r="902" ht="14.25" customHeight="1">
      <c r="B902" s="59"/>
    </row>
    <row r="903" ht="14.25" customHeight="1">
      <c r="B903" s="59"/>
    </row>
    <row r="904" ht="14.25" customHeight="1">
      <c r="B904" s="59"/>
    </row>
    <row r="905" ht="14.25" customHeight="1">
      <c r="B905" s="59"/>
    </row>
    <row r="906" ht="14.25" customHeight="1">
      <c r="B906" s="59"/>
    </row>
    <row r="907" ht="14.25" customHeight="1">
      <c r="B907" s="59"/>
    </row>
    <row r="908" ht="14.25" customHeight="1">
      <c r="B908" s="59"/>
    </row>
    <row r="909" ht="14.25" customHeight="1">
      <c r="B909" s="59"/>
    </row>
    <row r="910" ht="14.25" customHeight="1">
      <c r="B910" s="59"/>
    </row>
    <row r="911" ht="14.25" customHeight="1">
      <c r="B911" s="59"/>
    </row>
    <row r="912" ht="14.25" customHeight="1">
      <c r="B912" s="59"/>
    </row>
    <row r="913" ht="14.25" customHeight="1">
      <c r="B913" s="59"/>
    </row>
    <row r="914" ht="14.25" customHeight="1">
      <c r="B914" s="59"/>
    </row>
    <row r="915" ht="14.25" customHeight="1">
      <c r="B915" s="59"/>
    </row>
    <row r="916" ht="14.25" customHeight="1">
      <c r="B916" s="59"/>
    </row>
    <row r="917" ht="14.25" customHeight="1">
      <c r="B917" s="59"/>
    </row>
    <row r="918" ht="14.25" customHeight="1">
      <c r="B918" s="59"/>
    </row>
    <row r="919" ht="14.25" customHeight="1">
      <c r="B919" s="59"/>
    </row>
    <row r="920" ht="14.25" customHeight="1">
      <c r="B920" s="59"/>
    </row>
    <row r="921" ht="14.25" customHeight="1">
      <c r="B921" s="59"/>
    </row>
    <row r="922" ht="14.25" customHeight="1">
      <c r="B922" s="59"/>
    </row>
    <row r="923" ht="14.25" customHeight="1">
      <c r="B923" s="59"/>
    </row>
    <row r="924" ht="14.25" customHeight="1">
      <c r="B924" s="59"/>
    </row>
    <row r="925" ht="14.25" customHeight="1">
      <c r="B925" s="59"/>
    </row>
    <row r="926" ht="14.25" customHeight="1">
      <c r="B926" s="59"/>
    </row>
    <row r="927" ht="14.25" customHeight="1">
      <c r="B927" s="59"/>
    </row>
    <row r="928" ht="14.25" customHeight="1">
      <c r="B928" s="59"/>
    </row>
    <row r="929" ht="14.25" customHeight="1">
      <c r="B929" s="59"/>
    </row>
    <row r="930" ht="14.25" customHeight="1">
      <c r="B930" s="59"/>
    </row>
    <row r="931" ht="14.25" customHeight="1">
      <c r="B931" s="59"/>
    </row>
    <row r="932" ht="14.25" customHeight="1">
      <c r="B932" s="59"/>
    </row>
    <row r="933" ht="14.25" customHeight="1">
      <c r="B933" s="59"/>
    </row>
    <row r="934" ht="14.25" customHeight="1">
      <c r="B934" s="59"/>
    </row>
    <row r="935" ht="14.25" customHeight="1">
      <c r="B935" s="59"/>
    </row>
    <row r="936" ht="14.25" customHeight="1">
      <c r="B936" s="59"/>
    </row>
    <row r="937" ht="14.25" customHeight="1">
      <c r="B937" s="59"/>
    </row>
    <row r="938" ht="14.25" customHeight="1">
      <c r="B938" s="59"/>
    </row>
    <row r="939" ht="14.25" customHeight="1">
      <c r="B939" s="59"/>
    </row>
    <row r="940" ht="14.25" customHeight="1">
      <c r="B940" s="59"/>
    </row>
    <row r="941" ht="14.25" customHeight="1">
      <c r="B941" s="59"/>
    </row>
    <row r="942" ht="14.25" customHeight="1">
      <c r="B942" s="59"/>
    </row>
    <row r="943" ht="14.25" customHeight="1">
      <c r="B943" s="59"/>
    </row>
    <row r="944" ht="14.25" customHeight="1">
      <c r="B944" s="59"/>
    </row>
    <row r="945" ht="14.25" customHeight="1">
      <c r="B945" s="59"/>
    </row>
    <row r="946" ht="14.25" customHeight="1">
      <c r="B946" s="59"/>
    </row>
    <row r="947" ht="14.25" customHeight="1">
      <c r="B947" s="59"/>
    </row>
    <row r="948" ht="14.25" customHeight="1">
      <c r="B948" s="59"/>
    </row>
    <row r="949" ht="14.25" customHeight="1">
      <c r="B949" s="59"/>
    </row>
    <row r="950" ht="14.25" customHeight="1">
      <c r="B950" s="59"/>
    </row>
    <row r="951" ht="14.25" customHeight="1">
      <c r="B951" s="59"/>
    </row>
    <row r="952" ht="14.25" customHeight="1">
      <c r="B952" s="59"/>
    </row>
    <row r="953" ht="14.25" customHeight="1">
      <c r="B953" s="59"/>
    </row>
    <row r="954" ht="14.25" customHeight="1">
      <c r="B954" s="59"/>
    </row>
    <row r="955" ht="14.25" customHeight="1">
      <c r="B955" s="59"/>
    </row>
    <row r="956" ht="14.25" customHeight="1">
      <c r="B956" s="59"/>
    </row>
    <row r="957" ht="14.25" customHeight="1">
      <c r="B957" s="59"/>
    </row>
    <row r="958" ht="14.25" customHeight="1">
      <c r="B958" s="59"/>
    </row>
    <row r="959" ht="14.25" customHeight="1">
      <c r="B959" s="59"/>
    </row>
    <row r="960" ht="14.25" customHeight="1">
      <c r="B960" s="59"/>
    </row>
    <row r="961" ht="14.25" customHeight="1">
      <c r="B961" s="59"/>
    </row>
    <row r="962" ht="14.25" customHeight="1">
      <c r="B962" s="59"/>
    </row>
    <row r="963" ht="14.25" customHeight="1">
      <c r="B963" s="59"/>
    </row>
    <row r="964" ht="14.25" customHeight="1">
      <c r="B964" s="59"/>
    </row>
    <row r="965" ht="14.25" customHeight="1">
      <c r="B965" s="59"/>
    </row>
    <row r="966" ht="14.25" customHeight="1">
      <c r="B966" s="59"/>
    </row>
    <row r="967" ht="14.25" customHeight="1">
      <c r="B967" s="59"/>
    </row>
    <row r="968" ht="14.25" customHeight="1">
      <c r="B968" s="59"/>
    </row>
    <row r="969" ht="14.25" customHeight="1">
      <c r="B969" s="59"/>
    </row>
    <row r="970" ht="14.25" customHeight="1">
      <c r="B970" s="59"/>
    </row>
    <row r="971" ht="14.25" customHeight="1">
      <c r="B971" s="59"/>
    </row>
    <row r="972" ht="14.25" customHeight="1">
      <c r="B972" s="59"/>
    </row>
    <row r="973" ht="14.25" customHeight="1">
      <c r="B973" s="59"/>
    </row>
    <row r="974" ht="14.25" customHeight="1">
      <c r="B974" s="59"/>
    </row>
    <row r="975" ht="14.25" customHeight="1">
      <c r="B975" s="59"/>
    </row>
    <row r="976" ht="14.25" customHeight="1">
      <c r="B976" s="59"/>
    </row>
    <row r="977" ht="14.25" customHeight="1">
      <c r="B977" s="59"/>
    </row>
    <row r="978" ht="14.25" customHeight="1">
      <c r="B978" s="59"/>
    </row>
    <row r="979" ht="14.25" customHeight="1">
      <c r="B979" s="59"/>
    </row>
    <row r="980" ht="14.25" customHeight="1">
      <c r="B980" s="59"/>
    </row>
    <row r="981" ht="14.25" customHeight="1">
      <c r="B981" s="59"/>
    </row>
    <row r="982" ht="14.25" customHeight="1">
      <c r="B982" s="59"/>
    </row>
    <row r="983" ht="14.25" customHeight="1">
      <c r="B983" s="59"/>
    </row>
    <row r="984" ht="14.25" customHeight="1">
      <c r="B984" s="59"/>
    </row>
    <row r="985" ht="14.25" customHeight="1">
      <c r="B985" s="59"/>
    </row>
    <row r="986" ht="14.25" customHeight="1">
      <c r="B986" s="59"/>
    </row>
    <row r="987" ht="14.25" customHeight="1">
      <c r="B987" s="59"/>
    </row>
    <row r="988" ht="14.25" customHeight="1">
      <c r="B988" s="59"/>
    </row>
    <row r="989" ht="14.25" customHeight="1">
      <c r="B989" s="59"/>
    </row>
    <row r="990" ht="14.25" customHeight="1">
      <c r="B990" s="59"/>
    </row>
    <row r="991" ht="14.25" customHeight="1">
      <c r="B991" s="59"/>
    </row>
    <row r="992" ht="14.25" customHeight="1">
      <c r="B992" s="59"/>
    </row>
    <row r="993" ht="14.25" customHeight="1">
      <c r="B993" s="59"/>
    </row>
    <row r="994" ht="14.25" customHeight="1">
      <c r="B994" s="59"/>
    </row>
    <row r="995" ht="14.25" customHeight="1">
      <c r="B995" s="59"/>
    </row>
    <row r="996" ht="14.25" customHeight="1">
      <c r="B996" s="59"/>
    </row>
    <row r="997" ht="14.25" customHeight="1">
      <c r="B997" s="59"/>
    </row>
    <row r="998" ht="14.25" customHeight="1">
      <c r="B998" s="59"/>
    </row>
    <row r="999" ht="14.25" customHeight="1">
      <c r="B999" s="59"/>
    </row>
    <row r="1000" ht="14.25" customHeight="1">
      <c r="B1000" s="59"/>
    </row>
  </sheetData>
  <mergeCells count="6">
    <mergeCell ref="A1:G2"/>
    <mergeCell ref="B4:B10"/>
    <mergeCell ref="D4:D6"/>
    <mergeCell ref="E4:E6"/>
    <mergeCell ref="D7:D8"/>
    <mergeCell ref="E7:E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496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>
        <v>1.0</v>
      </c>
      <c r="B4" s="210">
        <v>45699.0</v>
      </c>
      <c r="C4" s="86" t="s">
        <v>472</v>
      </c>
      <c r="D4" s="86" t="s">
        <v>538</v>
      </c>
      <c r="E4" s="86" t="s">
        <v>61</v>
      </c>
      <c r="F4" s="222">
        <v>1.0</v>
      </c>
      <c r="G4" s="223">
        <v>1620.0</v>
      </c>
    </row>
    <row r="5" ht="18.75" customHeight="1">
      <c r="A5" s="86">
        <v>2.0</v>
      </c>
      <c r="B5" s="210">
        <v>45700.0</v>
      </c>
      <c r="C5" s="86" t="s">
        <v>472</v>
      </c>
      <c r="D5" s="86" t="s">
        <v>155</v>
      </c>
      <c r="E5" s="86" t="s">
        <v>512</v>
      </c>
      <c r="F5" s="222">
        <v>1.0</v>
      </c>
      <c r="G5" s="223">
        <v>1800.0</v>
      </c>
    </row>
    <row r="6" ht="18.75" customHeight="1">
      <c r="A6" s="86">
        <v>3.0</v>
      </c>
      <c r="B6" s="210">
        <v>45700.0</v>
      </c>
      <c r="C6" s="86" t="s">
        <v>389</v>
      </c>
      <c r="D6" s="86" t="s">
        <v>544</v>
      </c>
      <c r="E6" s="86" t="s">
        <v>134</v>
      </c>
      <c r="F6" s="222">
        <v>1.0</v>
      </c>
      <c r="G6" s="223">
        <v>6000.0</v>
      </c>
    </row>
    <row r="7" ht="18.75" customHeight="1">
      <c r="A7" s="86">
        <v>4.0</v>
      </c>
      <c r="B7" s="210">
        <v>45701.0</v>
      </c>
      <c r="C7" s="86" t="s">
        <v>472</v>
      </c>
      <c r="D7" s="86" t="s">
        <v>545</v>
      </c>
      <c r="E7" s="86" t="s">
        <v>484</v>
      </c>
      <c r="F7" s="222">
        <v>1.0</v>
      </c>
      <c r="G7" s="223">
        <v>1800.0</v>
      </c>
    </row>
    <row r="8" ht="18.75" customHeight="1">
      <c r="A8" s="86">
        <v>5.0</v>
      </c>
      <c r="B8" s="210">
        <v>45702.0</v>
      </c>
      <c r="C8" s="86" t="s">
        <v>531</v>
      </c>
      <c r="D8" s="86" t="s">
        <v>265</v>
      </c>
      <c r="E8" s="86" t="s">
        <v>28</v>
      </c>
      <c r="F8" s="222">
        <v>1.0</v>
      </c>
      <c r="G8" s="223">
        <v>3000.0</v>
      </c>
    </row>
    <row r="9" ht="18.75" customHeight="1">
      <c r="A9" s="86">
        <v>6.0</v>
      </c>
      <c r="B9" s="210">
        <v>45703.0</v>
      </c>
      <c r="C9" s="86" t="s">
        <v>546</v>
      </c>
      <c r="D9" s="86" t="s">
        <v>498</v>
      </c>
      <c r="E9" s="86" t="s">
        <v>28</v>
      </c>
      <c r="F9" s="222">
        <v>1.0</v>
      </c>
      <c r="G9" s="223">
        <v>1800.0</v>
      </c>
    </row>
    <row r="10" ht="18.75" customHeight="1">
      <c r="A10" s="86">
        <v>7.0</v>
      </c>
      <c r="B10" s="210">
        <v>45703.0</v>
      </c>
      <c r="C10" s="86" t="s">
        <v>389</v>
      </c>
      <c r="D10" s="86" t="s">
        <v>548</v>
      </c>
      <c r="E10" s="86" t="s">
        <v>393</v>
      </c>
      <c r="F10" s="222">
        <v>1.0</v>
      </c>
      <c r="G10" s="223">
        <v>6000.0</v>
      </c>
    </row>
    <row r="11" ht="18.75" customHeight="1">
      <c r="A11" s="86">
        <v>8.0</v>
      </c>
      <c r="B11" s="210">
        <v>45705.0</v>
      </c>
      <c r="C11" s="86" t="s">
        <v>472</v>
      </c>
      <c r="D11" s="86" t="s">
        <v>91</v>
      </c>
      <c r="E11" s="86" t="s">
        <v>550</v>
      </c>
      <c r="F11" s="222">
        <v>1.0</v>
      </c>
      <c r="G11" s="223">
        <v>1800.0</v>
      </c>
    </row>
    <row r="12" ht="18.75" customHeight="1">
      <c r="A12" s="86">
        <v>9.0</v>
      </c>
      <c r="B12" s="224">
        <v>45713.0</v>
      </c>
      <c r="C12" s="86" t="s">
        <v>472</v>
      </c>
      <c r="D12" s="135" t="s">
        <v>552</v>
      </c>
      <c r="E12" s="135" t="s">
        <v>66</v>
      </c>
      <c r="F12" s="222">
        <v>1.0</v>
      </c>
      <c r="G12" s="223">
        <v>1620.0</v>
      </c>
    </row>
    <row r="13" ht="18.75" customHeight="1">
      <c r="A13" s="86">
        <v>10.0</v>
      </c>
      <c r="B13" s="38"/>
      <c r="C13" s="86" t="s">
        <v>472</v>
      </c>
      <c r="D13" s="38"/>
      <c r="E13" s="38"/>
      <c r="F13" s="222">
        <v>1.0</v>
      </c>
      <c r="G13" s="223">
        <v>1620.0</v>
      </c>
    </row>
    <row r="14" ht="18.75" customHeight="1">
      <c r="A14" s="86">
        <v>11.0</v>
      </c>
      <c r="B14" s="47"/>
      <c r="C14" s="86" t="s">
        <v>478</v>
      </c>
      <c r="D14" s="47"/>
      <c r="E14" s="47"/>
      <c r="F14" s="222">
        <v>1.0</v>
      </c>
      <c r="G14" s="223">
        <v>4950.0</v>
      </c>
    </row>
    <row r="15" ht="18.75" customHeight="1">
      <c r="A15" s="86">
        <v>12.0</v>
      </c>
      <c r="B15" s="210">
        <v>45715.0</v>
      </c>
      <c r="C15" s="86" t="s">
        <v>553</v>
      </c>
      <c r="D15" s="86" t="s">
        <v>554</v>
      </c>
      <c r="E15" s="86" t="s">
        <v>554</v>
      </c>
      <c r="F15" s="222">
        <v>1.0</v>
      </c>
      <c r="G15" s="223">
        <v>1000.0</v>
      </c>
    </row>
    <row r="16" ht="18.75" customHeight="1">
      <c r="A16" s="86">
        <v>13.0</v>
      </c>
      <c r="B16" s="210">
        <v>45716.0</v>
      </c>
      <c r="C16" s="86" t="s">
        <v>472</v>
      </c>
      <c r="D16" s="86" t="s">
        <v>521</v>
      </c>
      <c r="E16" s="86" t="s">
        <v>555</v>
      </c>
      <c r="F16" s="222">
        <v>1.0</v>
      </c>
      <c r="G16" s="223">
        <v>2000.0</v>
      </c>
    </row>
    <row r="17" ht="18.75" customHeight="1">
      <c r="A17" s="86">
        <v>14.0</v>
      </c>
      <c r="B17" s="210">
        <v>45719.0</v>
      </c>
      <c r="C17" s="86" t="s">
        <v>389</v>
      </c>
      <c r="D17" s="86" t="s">
        <v>556</v>
      </c>
      <c r="E17" s="86" t="s">
        <v>499</v>
      </c>
      <c r="F17" s="222">
        <v>1.0</v>
      </c>
      <c r="G17" s="223">
        <v>4800.0</v>
      </c>
    </row>
    <row r="18" ht="18.75" customHeight="1">
      <c r="A18" s="86">
        <v>15.0</v>
      </c>
      <c r="B18" s="210"/>
      <c r="C18" s="86"/>
      <c r="D18" s="86"/>
      <c r="E18" s="86"/>
      <c r="F18" s="222"/>
      <c r="G18" s="223"/>
    </row>
    <row r="19" ht="18.75" customHeight="1">
      <c r="A19" s="86">
        <v>16.0</v>
      </c>
      <c r="B19" s="210"/>
      <c r="C19" s="86"/>
      <c r="D19" s="86"/>
      <c r="E19" s="86"/>
      <c r="F19" s="222"/>
      <c r="G19" s="223"/>
    </row>
    <row r="20" ht="18.75" customHeight="1">
      <c r="A20" s="86">
        <v>17.0</v>
      </c>
      <c r="B20" s="210"/>
      <c r="C20" s="86"/>
      <c r="D20" s="86"/>
      <c r="E20" s="86"/>
      <c r="F20" s="222"/>
      <c r="G20" s="223"/>
    </row>
    <row r="21" ht="18.75" customHeight="1">
      <c r="A21" s="86">
        <v>18.0</v>
      </c>
      <c r="B21" s="210"/>
      <c r="C21" s="86"/>
      <c r="D21" s="86"/>
      <c r="E21" s="86"/>
      <c r="F21" s="222"/>
      <c r="G21" s="223"/>
    </row>
    <row r="22" ht="18.75" customHeight="1">
      <c r="A22" s="86">
        <v>19.0</v>
      </c>
      <c r="B22" s="210"/>
      <c r="C22" s="86"/>
      <c r="D22" s="86"/>
      <c r="E22" s="86"/>
      <c r="F22" s="222"/>
      <c r="G22" s="223"/>
    </row>
    <row r="23" ht="18.75" customHeight="1">
      <c r="A23" s="86">
        <v>20.0</v>
      </c>
      <c r="B23" s="210"/>
      <c r="C23" s="86"/>
      <c r="D23" s="86"/>
      <c r="E23" s="86"/>
      <c r="F23" s="222"/>
      <c r="G23" s="223"/>
    </row>
    <row r="24" ht="18.75" customHeight="1">
      <c r="A24" s="86">
        <v>21.0</v>
      </c>
      <c r="B24" s="210"/>
      <c r="C24" s="86"/>
      <c r="D24" s="86"/>
      <c r="E24" s="86"/>
      <c r="F24" s="222"/>
      <c r="G24" s="223"/>
    </row>
    <row r="25" ht="18.75" customHeight="1">
      <c r="A25" s="86">
        <v>22.0</v>
      </c>
      <c r="B25" s="210"/>
      <c r="C25" s="86"/>
      <c r="D25" s="86"/>
      <c r="E25" s="86"/>
      <c r="F25" s="222"/>
      <c r="G25" s="223"/>
    </row>
    <row r="26" ht="18.75" customHeight="1">
      <c r="A26" s="86">
        <v>23.0</v>
      </c>
      <c r="B26" s="210"/>
      <c r="C26" s="86"/>
      <c r="D26" s="86"/>
      <c r="E26" s="86"/>
      <c r="F26" s="222"/>
      <c r="G26" s="223"/>
    </row>
    <row r="27" ht="18.75" customHeight="1">
      <c r="A27" s="86">
        <v>24.0</v>
      </c>
      <c r="B27" s="210"/>
      <c r="C27" s="86"/>
      <c r="D27" s="86"/>
      <c r="E27" s="86"/>
      <c r="F27" s="222"/>
      <c r="G27" s="223"/>
    </row>
    <row r="28" ht="18.75" customHeight="1">
      <c r="A28" s="86">
        <v>25.0</v>
      </c>
      <c r="B28" s="210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39810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G2"/>
    <mergeCell ref="B12:B14"/>
    <mergeCell ref="D12:D14"/>
    <mergeCell ref="E12:E14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536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120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>
        <v>1.0</v>
      </c>
      <c r="B4" s="210">
        <v>45726.0</v>
      </c>
      <c r="C4" s="86" t="s">
        <v>389</v>
      </c>
      <c r="D4" s="86" t="s">
        <v>406</v>
      </c>
      <c r="E4" s="86" t="s">
        <v>174</v>
      </c>
      <c r="F4" s="222">
        <v>1.0</v>
      </c>
      <c r="G4" s="223">
        <v>6000.0</v>
      </c>
    </row>
    <row r="5" ht="18.75" customHeight="1">
      <c r="A5" s="86">
        <v>2.0</v>
      </c>
      <c r="B5" s="210">
        <v>45727.0</v>
      </c>
      <c r="C5" s="86" t="s">
        <v>478</v>
      </c>
      <c r="D5" s="86" t="s">
        <v>190</v>
      </c>
      <c r="E5" s="86" t="s">
        <v>499</v>
      </c>
      <c r="F5" s="222">
        <v>1.0</v>
      </c>
      <c r="G5" s="223">
        <v>4950.0</v>
      </c>
    </row>
    <row r="6" ht="18.75" customHeight="1">
      <c r="A6" s="86">
        <v>3.0</v>
      </c>
      <c r="B6" s="210">
        <v>45732.0</v>
      </c>
      <c r="C6" s="86" t="s">
        <v>438</v>
      </c>
      <c r="D6" s="86" t="s">
        <v>541</v>
      </c>
      <c r="E6" s="86" t="s">
        <v>269</v>
      </c>
      <c r="F6" s="222">
        <v>1.0</v>
      </c>
      <c r="G6" s="223">
        <v>5400.0</v>
      </c>
    </row>
    <row r="7" ht="18.75" customHeight="1">
      <c r="A7" s="86">
        <v>4.0</v>
      </c>
      <c r="B7" s="210">
        <v>45734.0</v>
      </c>
      <c r="C7" s="86" t="s">
        <v>472</v>
      </c>
      <c r="D7" s="86" t="s">
        <v>227</v>
      </c>
      <c r="E7" s="86" t="s">
        <v>542</v>
      </c>
      <c r="F7" s="222">
        <v>1.0</v>
      </c>
      <c r="G7" s="223">
        <v>1200.0</v>
      </c>
    </row>
    <row r="8" ht="18.75" customHeight="1">
      <c r="A8" s="86">
        <v>5.0</v>
      </c>
      <c r="B8" s="210">
        <v>45737.0</v>
      </c>
      <c r="C8" s="86" t="s">
        <v>478</v>
      </c>
      <c r="D8" s="86" t="s">
        <v>182</v>
      </c>
      <c r="E8" s="86" t="s">
        <v>543</v>
      </c>
      <c r="F8" s="222">
        <v>1.0</v>
      </c>
      <c r="G8" s="223">
        <v>4950.0</v>
      </c>
    </row>
    <row r="9" ht="18.75" customHeight="1">
      <c r="A9" s="86">
        <v>6.0</v>
      </c>
      <c r="B9" s="210">
        <v>45741.0</v>
      </c>
      <c r="C9" s="86" t="s">
        <v>488</v>
      </c>
      <c r="D9" s="86" t="s">
        <v>128</v>
      </c>
      <c r="E9" s="86" t="s">
        <v>31</v>
      </c>
      <c r="F9" s="222">
        <v>1.0</v>
      </c>
      <c r="G9" s="223">
        <v>2000.0</v>
      </c>
    </row>
    <row r="10" ht="18.75" customHeight="1">
      <c r="A10" s="86">
        <v>7.0</v>
      </c>
      <c r="B10" s="224">
        <v>45742.0</v>
      </c>
      <c r="C10" s="86" t="s">
        <v>472</v>
      </c>
      <c r="D10" s="135" t="s">
        <v>375</v>
      </c>
      <c r="E10" s="154" t="s">
        <v>351</v>
      </c>
      <c r="F10" s="222">
        <v>1.0</v>
      </c>
      <c r="G10" s="223">
        <v>1620.0</v>
      </c>
    </row>
    <row r="11" ht="18.75" customHeight="1">
      <c r="A11" s="86">
        <v>8.0</v>
      </c>
      <c r="B11" s="47"/>
      <c r="C11" s="86" t="s">
        <v>478</v>
      </c>
      <c r="D11" s="47"/>
      <c r="E11" s="47"/>
      <c r="F11" s="222">
        <v>1.0</v>
      </c>
      <c r="G11" s="223">
        <v>4950.0</v>
      </c>
    </row>
    <row r="12" ht="18.75" customHeight="1">
      <c r="A12" s="86">
        <v>9.0</v>
      </c>
      <c r="B12" s="210">
        <v>45742.0</v>
      </c>
      <c r="C12" s="86" t="s">
        <v>472</v>
      </c>
      <c r="D12" s="140" t="s">
        <v>342</v>
      </c>
      <c r="E12" s="86" t="s">
        <v>484</v>
      </c>
      <c r="F12" s="222">
        <v>1.0</v>
      </c>
      <c r="G12" s="223">
        <v>1800.0</v>
      </c>
    </row>
    <row r="13" ht="18.75" customHeight="1">
      <c r="A13" s="86">
        <v>10.0</v>
      </c>
      <c r="B13" s="210">
        <v>45744.0</v>
      </c>
      <c r="C13" s="86" t="s">
        <v>472</v>
      </c>
      <c r="D13" s="86" t="s">
        <v>220</v>
      </c>
      <c r="E13" s="86" t="s">
        <v>61</v>
      </c>
      <c r="F13" s="222">
        <v>1.0</v>
      </c>
      <c r="G13" s="223">
        <v>1800.0</v>
      </c>
    </row>
    <row r="14" ht="18.75" customHeight="1">
      <c r="A14" s="86">
        <v>11.0</v>
      </c>
      <c r="B14" s="224">
        <v>45744.0</v>
      </c>
      <c r="C14" s="86" t="s">
        <v>472</v>
      </c>
      <c r="D14" s="135" t="s">
        <v>547</v>
      </c>
      <c r="E14" s="135" t="s">
        <v>134</v>
      </c>
      <c r="F14" s="222">
        <v>1.0</v>
      </c>
      <c r="G14" s="223">
        <v>1800.0</v>
      </c>
    </row>
    <row r="15" ht="18.75" customHeight="1">
      <c r="A15" s="86">
        <v>12.0</v>
      </c>
      <c r="B15" s="47"/>
      <c r="C15" s="86" t="s">
        <v>438</v>
      </c>
      <c r="D15" s="47"/>
      <c r="E15" s="47"/>
      <c r="F15" s="222">
        <v>1.0</v>
      </c>
      <c r="G15" s="223">
        <v>6200.0</v>
      </c>
    </row>
    <row r="16" ht="18.75" customHeight="1">
      <c r="A16" s="86">
        <v>13.0</v>
      </c>
      <c r="B16" s="210">
        <v>45744.0</v>
      </c>
      <c r="C16" s="86" t="s">
        <v>472</v>
      </c>
      <c r="D16" s="86" t="s">
        <v>64</v>
      </c>
      <c r="E16" s="86" t="s">
        <v>549</v>
      </c>
      <c r="F16" s="222">
        <v>1.0</v>
      </c>
      <c r="G16" s="223">
        <v>1620.0</v>
      </c>
      <c r="I16" s="227">
        <f>5500-550</f>
        <v>4950</v>
      </c>
    </row>
    <row r="17" ht="18.75" customHeight="1">
      <c r="A17" s="86">
        <v>14.0</v>
      </c>
      <c r="B17" s="210">
        <v>45746.0</v>
      </c>
      <c r="C17" s="86" t="s">
        <v>472</v>
      </c>
      <c r="D17" s="86" t="s">
        <v>208</v>
      </c>
      <c r="E17" s="86" t="s">
        <v>551</v>
      </c>
      <c r="F17" s="222">
        <v>1.0</v>
      </c>
      <c r="G17" s="223">
        <v>1620.0</v>
      </c>
      <c r="I17" s="227">
        <f>1800-180</f>
        <v>1620</v>
      </c>
    </row>
    <row r="18" ht="18.75" customHeight="1">
      <c r="A18" s="86">
        <v>15.0</v>
      </c>
      <c r="B18" s="210">
        <v>45748.0</v>
      </c>
      <c r="C18" s="86" t="s">
        <v>472</v>
      </c>
      <c r="D18" s="86" t="s">
        <v>299</v>
      </c>
      <c r="E18" s="86" t="s">
        <v>473</v>
      </c>
      <c r="F18" s="222">
        <v>1.0</v>
      </c>
      <c r="G18" s="223">
        <v>1800.0</v>
      </c>
    </row>
    <row r="19" ht="18.75" customHeight="1">
      <c r="A19" s="86">
        <v>16.0</v>
      </c>
      <c r="B19" s="224">
        <v>45750.0</v>
      </c>
      <c r="C19" s="86" t="s">
        <v>472</v>
      </c>
      <c r="D19" s="86" t="s">
        <v>401</v>
      </c>
      <c r="E19" s="86" t="s">
        <v>512</v>
      </c>
      <c r="F19" s="222">
        <v>1.0</v>
      </c>
      <c r="G19" s="223">
        <v>1800.0</v>
      </c>
    </row>
    <row r="20" ht="18.75" customHeight="1">
      <c r="A20" s="86">
        <v>17.0</v>
      </c>
      <c r="B20" s="47"/>
      <c r="C20" s="86" t="s">
        <v>510</v>
      </c>
      <c r="D20" s="86"/>
      <c r="E20" s="86"/>
      <c r="F20" s="222">
        <v>1.0</v>
      </c>
      <c r="G20" s="223">
        <v>3000.0</v>
      </c>
    </row>
    <row r="21" ht="18.75" customHeight="1">
      <c r="A21" s="86">
        <v>18.0</v>
      </c>
      <c r="B21" s="225">
        <v>45751.0</v>
      </c>
      <c r="C21" s="86" t="s">
        <v>510</v>
      </c>
      <c r="D21" s="135"/>
      <c r="E21" s="135" t="s">
        <v>512</v>
      </c>
      <c r="F21" s="222">
        <v>1.0</v>
      </c>
      <c r="G21" s="223">
        <v>2000.0</v>
      </c>
    </row>
    <row r="22" ht="18.75" customHeight="1">
      <c r="A22" s="86">
        <v>19.0</v>
      </c>
      <c r="B22" s="47"/>
      <c r="C22" s="86" t="s">
        <v>475</v>
      </c>
      <c r="D22" s="47"/>
      <c r="E22" s="47"/>
      <c r="F22" s="222">
        <v>1.0</v>
      </c>
      <c r="G22" s="223">
        <v>7200.0</v>
      </c>
    </row>
    <row r="23" ht="18.75" customHeight="1">
      <c r="A23" s="86">
        <v>20.0</v>
      </c>
      <c r="B23" s="210">
        <v>45751.0</v>
      </c>
      <c r="C23" s="86" t="s">
        <v>472</v>
      </c>
      <c r="D23" s="86" t="s">
        <v>375</v>
      </c>
      <c r="E23" s="86" t="s">
        <v>473</v>
      </c>
      <c r="F23" s="222">
        <v>1.0</v>
      </c>
      <c r="G23" s="223">
        <v>1620.0</v>
      </c>
    </row>
    <row r="24" ht="18.75" customHeight="1">
      <c r="A24" s="86">
        <v>21.0</v>
      </c>
      <c r="B24" s="210" t="s">
        <v>557</v>
      </c>
      <c r="C24" s="86" t="s">
        <v>438</v>
      </c>
      <c r="D24" s="86" t="s">
        <v>77</v>
      </c>
      <c r="E24" s="86" t="s">
        <v>558</v>
      </c>
      <c r="F24" s="222">
        <v>1.0</v>
      </c>
      <c r="G24" s="223">
        <v>5580.0</v>
      </c>
    </row>
    <row r="25" ht="18.75" customHeight="1">
      <c r="A25" s="86">
        <v>22.0</v>
      </c>
      <c r="B25" s="224">
        <v>45755.0</v>
      </c>
      <c r="C25" s="86" t="s">
        <v>438</v>
      </c>
      <c r="D25" s="135" t="s">
        <v>454</v>
      </c>
      <c r="E25" s="135" t="s">
        <v>31</v>
      </c>
      <c r="F25" s="222">
        <v>1.0</v>
      </c>
      <c r="G25" s="223">
        <v>5580.0</v>
      </c>
    </row>
    <row r="26" ht="18.75" customHeight="1">
      <c r="A26" s="86">
        <v>23.0</v>
      </c>
      <c r="B26" s="47"/>
      <c r="C26" s="86" t="s">
        <v>559</v>
      </c>
      <c r="D26" s="47"/>
      <c r="E26" s="47"/>
      <c r="F26" s="222">
        <v>1.0</v>
      </c>
      <c r="G26" s="223">
        <v>7110.0</v>
      </c>
    </row>
    <row r="27" ht="18.75" customHeight="1">
      <c r="A27" s="86">
        <v>24.0</v>
      </c>
      <c r="B27" s="210"/>
      <c r="C27" s="86"/>
      <c r="D27" s="86"/>
      <c r="E27" s="86"/>
      <c r="F27" s="222"/>
      <c r="G27" s="223"/>
    </row>
    <row r="28" ht="18.75" customHeight="1">
      <c r="A28" s="86">
        <v>25.0</v>
      </c>
      <c r="B28" s="210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81600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>
      <c r="B231" s="59"/>
    </row>
    <row r="232" ht="14.25" customHeight="1">
      <c r="B232" s="59"/>
    </row>
    <row r="233" ht="14.25" customHeight="1">
      <c r="B233" s="59"/>
    </row>
    <row r="234" ht="14.25" customHeight="1">
      <c r="B234" s="59"/>
    </row>
    <row r="235" ht="14.25" customHeight="1">
      <c r="B235" s="59"/>
    </row>
    <row r="236" ht="14.25" customHeight="1">
      <c r="B236" s="59"/>
    </row>
    <row r="237" ht="14.25" customHeight="1">
      <c r="B237" s="59"/>
    </row>
    <row r="238" ht="14.25" customHeight="1">
      <c r="B238" s="59"/>
    </row>
    <row r="239" ht="14.25" customHeight="1">
      <c r="B239" s="59"/>
    </row>
    <row r="240" ht="14.25" customHeight="1">
      <c r="B240" s="59"/>
    </row>
    <row r="241" ht="14.25" customHeight="1">
      <c r="B241" s="59"/>
    </row>
    <row r="242" ht="14.25" customHeight="1">
      <c r="B242" s="59"/>
    </row>
    <row r="243" ht="14.25" customHeight="1">
      <c r="B243" s="59"/>
    </row>
    <row r="244" ht="14.25" customHeight="1">
      <c r="B244" s="59"/>
    </row>
    <row r="245" ht="14.25" customHeight="1">
      <c r="B245" s="59"/>
    </row>
    <row r="246" ht="14.25" customHeight="1">
      <c r="B246" s="59"/>
    </row>
    <row r="247" ht="14.25" customHeight="1">
      <c r="B247" s="59"/>
    </row>
    <row r="248" ht="14.25" customHeight="1">
      <c r="B248" s="59"/>
    </row>
    <row r="249" ht="14.25" customHeight="1">
      <c r="B249" s="59"/>
    </row>
    <row r="250" ht="14.25" customHeight="1">
      <c r="B250" s="59"/>
    </row>
    <row r="251" ht="14.25" customHeight="1">
      <c r="B251" s="59"/>
    </row>
    <row r="252" ht="14.25" customHeight="1">
      <c r="B252" s="59"/>
    </row>
    <row r="253" ht="14.25" customHeight="1">
      <c r="B253" s="59"/>
    </row>
    <row r="254" ht="14.25" customHeight="1">
      <c r="B254" s="59"/>
    </row>
    <row r="255" ht="14.25" customHeight="1">
      <c r="B255" s="59"/>
    </row>
    <row r="256" ht="14.25" customHeight="1">
      <c r="B256" s="59"/>
    </row>
    <row r="257" ht="14.25" customHeight="1">
      <c r="B257" s="59"/>
    </row>
    <row r="258" ht="14.25" customHeight="1">
      <c r="B258" s="59"/>
    </row>
    <row r="259" ht="14.25" customHeight="1">
      <c r="B259" s="59"/>
    </row>
    <row r="260" ht="14.25" customHeight="1">
      <c r="B260" s="59"/>
    </row>
    <row r="261" ht="14.25" customHeight="1">
      <c r="B261" s="59"/>
    </row>
    <row r="262" ht="14.25" customHeight="1">
      <c r="B262" s="59"/>
    </row>
    <row r="263" ht="14.25" customHeight="1">
      <c r="B263" s="59"/>
    </row>
    <row r="264" ht="14.25" customHeight="1">
      <c r="B264" s="59"/>
    </row>
    <row r="265" ht="14.25" customHeight="1">
      <c r="B265" s="59"/>
    </row>
    <row r="266" ht="14.25" customHeight="1">
      <c r="B266" s="59"/>
    </row>
    <row r="267" ht="14.25" customHeight="1">
      <c r="B267" s="59"/>
    </row>
    <row r="268" ht="14.25" customHeight="1">
      <c r="B268" s="59"/>
    </row>
    <row r="269" ht="14.25" customHeight="1">
      <c r="B269" s="59"/>
    </row>
    <row r="270" ht="14.25" customHeight="1">
      <c r="B270" s="59"/>
    </row>
    <row r="271" ht="14.25" customHeight="1">
      <c r="B271" s="59"/>
    </row>
    <row r="272" ht="14.25" customHeight="1">
      <c r="B272" s="59"/>
    </row>
    <row r="273" ht="14.25" customHeight="1">
      <c r="B273" s="59"/>
    </row>
    <row r="274" ht="14.25" customHeight="1">
      <c r="B274" s="59"/>
    </row>
    <row r="275" ht="14.25" customHeight="1">
      <c r="B275" s="59"/>
    </row>
    <row r="276" ht="14.25" customHeight="1">
      <c r="B276" s="59"/>
    </row>
    <row r="277" ht="14.25" customHeight="1">
      <c r="B277" s="59"/>
    </row>
    <row r="278" ht="14.25" customHeight="1">
      <c r="B278" s="59"/>
    </row>
    <row r="279" ht="14.25" customHeight="1">
      <c r="B279" s="59"/>
    </row>
    <row r="280" ht="14.25" customHeight="1">
      <c r="B280" s="59"/>
    </row>
    <row r="281" ht="14.25" customHeight="1">
      <c r="B281" s="59"/>
    </row>
    <row r="282" ht="14.25" customHeight="1">
      <c r="B282" s="59"/>
    </row>
    <row r="283" ht="14.25" customHeight="1">
      <c r="B283" s="59"/>
    </row>
    <row r="284" ht="14.25" customHeight="1">
      <c r="B284" s="59"/>
    </row>
    <row r="285" ht="14.25" customHeight="1">
      <c r="B285" s="59"/>
    </row>
    <row r="286" ht="14.25" customHeight="1">
      <c r="B286" s="59"/>
    </row>
    <row r="287" ht="14.25" customHeight="1">
      <c r="B287" s="59"/>
    </row>
    <row r="288" ht="14.25" customHeight="1">
      <c r="B288" s="59"/>
    </row>
    <row r="289" ht="14.25" customHeight="1">
      <c r="B289" s="59"/>
    </row>
    <row r="290" ht="14.25" customHeight="1">
      <c r="B290" s="59"/>
    </row>
    <row r="291" ht="14.25" customHeight="1">
      <c r="B291" s="59"/>
    </row>
    <row r="292" ht="14.25" customHeight="1">
      <c r="B292" s="59"/>
    </row>
    <row r="293" ht="14.25" customHeight="1">
      <c r="B293" s="59"/>
    </row>
    <row r="294" ht="14.25" customHeight="1">
      <c r="B294" s="59"/>
    </row>
    <row r="295" ht="14.25" customHeight="1">
      <c r="B295" s="59"/>
    </row>
    <row r="296" ht="14.25" customHeight="1">
      <c r="B296" s="59"/>
    </row>
    <row r="297" ht="14.25" customHeight="1">
      <c r="B297" s="59"/>
    </row>
    <row r="298" ht="14.25" customHeight="1">
      <c r="B298" s="59"/>
    </row>
    <row r="299" ht="14.25" customHeight="1">
      <c r="B299" s="59"/>
    </row>
    <row r="300" ht="14.25" customHeight="1">
      <c r="B300" s="59"/>
    </row>
    <row r="301" ht="14.25" customHeight="1">
      <c r="B301" s="59"/>
    </row>
    <row r="302" ht="14.25" customHeight="1">
      <c r="B302" s="59"/>
    </row>
    <row r="303" ht="14.25" customHeight="1">
      <c r="B303" s="59"/>
    </row>
    <row r="304" ht="14.25" customHeight="1">
      <c r="B304" s="59"/>
    </row>
    <row r="305" ht="14.25" customHeight="1">
      <c r="B305" s="59"/>
    </row>
    <row r="306" ht="14.25" customHeight="1">
      <c r="B306" s="59"/>
    </row>
    <row r="307" ht="14.25" customHeight="1">
      <c r="B307" s="59"/>
    </row>
    <row r="308" ht="14.25" customHeight="1">
      <c r="B308" s="59"/>
    </row>
    <row r="309" ht="14.25" customHeight="1">
      <c r="B309" s="59"/>
    </row>
    <row r="310" ht="14.25" customHeight="1">
      <c r="B310" s="59"/>
    </row>
    <row r="311" ht="14.25" customHeight="1">
      <c r="B311" s="59"/>
    </row>
    <row r="312" ht="14.25" customHeight="1">
      <c r="B312" s="59"/>
    </row>
    <row r="313" ht="14.25" customHeight="1">
      <c r="B313" s="59"/>
    </row>
    <row r="314" ht="14.25" customHeight="1">
      <c r="B314" s="59"/>
    </row>
    <row r="315" ht="14.25" customHeight="1">
      <c r="B315" s="59"/>
    </row>
    <row r="316" ht="14.25" customHeight="1">
      <c r="B316" s="59"/>
    </row>
    <row r="317" ht="14.25" customHeight="1">
      <c r="B317" s="59"/>
    </row>
    <row r="318" ht="14.25" customHeight="1">
      <c r="B318" s="59"/>
    </row>
    <row r="319" ht="14.25" customHeight="1">
      <c r="B319" s="59"/>
    </row>
    <row r="320" ht="14.25" customHeight="1">
      <c r="B320" s="59"/>
    </row>
    <row r="321" ht="14.25" customHeight="1">
      <c r="B321" s="59"/>
    </row>
    <row r="322" ht="14.25" customHeight="1">
      <c r="B322" s="59"/>
    </row>
    <row r="323" ht="14.25" customHeight="1">
      <c r="B323" s="59"/>
    </row>
    <row r="324" ht="14.25" customHeight="1">
      <c r="B324" s="59"/>
    </row>
    <row r="325" ht="14.25" customHeight="1">
      <c r="B325" s="59"/>
    </row>
    <row r="326" ht="14.25" customHeight="1">
      <c r="B326" s="59"/>
    </row>
    <row r="327" ht="14.25" customHeight="1">
      <c r="B327" s="59"/>
    </row>
    <row r="328" ht="14.25" customHeight="1">
      <c r="B328" s="59"/>
    </row>
    <row r="329" ht="14.25" customHeight="1">
      <c r="B329" s="59"/>
    </row>
    <row r="330" ht="14.25" customHeight="1">
      <c r="B330" s="59"/>
    </row>
    <row r="331" ht="14.25" customHeight="1">
      <c r="B331" s="59"/>
    </row>
    <row r="332" ht="14.25" customHeight="1">
      <c r="B332" s="59"/>
    </row>
    <row r="333" ht="14.25" customHeight="1">
      <c r="B333" s="59"/>
    </row>
    <row r="334" ht="14.25" customHeight="1">
      <c r="B334" s="59"/>
    </row>
    <row r="335" ht="14.25" customHeight="1">
      <c r="B335" s="59"/>
    </row>
    <row r="336" ht="14.25" customHeight="1">
      <c r="B336" s="59"/>
    </row>
    <row r="337" ht="14.25" customHeight="1">
      <c r="B337" s="59"/>
    </row>
    <row r="338" ht="14.25" customHeight="1">
      <c r="B338" s="59"/>
    </row>
    <row r="339" ht="14.25" customHeight="1">
      <c r="B339" s="59"/>
    </row>
    <row r="340" ht="14.25" customHeight="1">
      <c r="B340" s="59"/>
    </row>
    <row r="341" ht="14.25" customHeight="1">
      <c r="B341" s="59"/>
    </row>
    <row r="342" ht="14.25" customHeight="1">
      <c r="B342" s="59"/>
    </row>
    <row r="343" ht="14.25" customHeight="1">
      <c r="B343" s="59"/>
    </row>
    <row r="344" ht="14.25" customHeight="1">
      <c r="B344" s="59"/>
    </row>
    <row r="345" ht="14.25" customHeight="1">
      <c r="B345" s="59"/>
    </row>
    <row r="346" ht="14.25" customHeight="1">
      <c r="B346" s="59"/>
    </row>
    <row r="347" ht="14.25" customHeight="1">
      <c r="B347" s="59"/>
    </row>
    <row r="348" ht="14.25" customHeight="1">
      <c r="B348" s="59"/>
    </row>
    <row r="349" ht="14.25" customHeight="1">
      <c r="B349" s="59"/>
    </row>
    <row r="350" ht="14.25" customHeight="1">
      <c r="B350" s="59"/>
    </row>
    <row r="351" ht="14.25" customHeight="1">
      <c r="B351" s="59"/>
    </row>
    <row r="352" ht="14.25" customHeight="1">
      <c r="B352" s="59"/>
    </row>
    <row r="353" ht="14.25" customHeight="1">
      <c r="B353" s="59"/>
    </row>
    <row r="354" ht="14.25" customHeight="1">
      <c r="B354" s="59"/>
    </row>
    <row r="355" ht="14.25" customHeight="1">
      <c r="B355" s="59"/>
    </row>
    <row r="356" ht="14.25" customHeight="1">
      <c r="B356" s="59"/>
    </row>
    <row r="357" ht="14.25" customHeight="1">
      <c r="B357" s="59"/>
    </row>
    <row r="358" ht="14.25" customHeight="1">
      <c r="B358" s="59"/>
    </row>
    <row r="359" ht="14.25" customHeight="1">
      <c r="B359" s="59"/>
    </row>
    <row r="360" ht="14.25" customHeight="1">
      <c r="B360" s="59"/>
    </row>
    <row r="361" ht="14.25" customHeight="1">
      <c r="B361" s="59"/>
    </row>
    <row r="362" ht="14.25" customHeight="1">
      <c r="B362" s="59"/>
    </row>
    <row r="363" ht="14.25" customHeight="1">
      <c r="B363" s="59"/>
    </row>
    <row r="364" ht="14.25" customHeight="1">
      <c r="B364" s="59"/>
    </row>
    <row r="365" ht="14.25" customHeight="1">
      <c r="B365" s="59"/>
    </row>
    <row r="366" ht="14.25" customHeight="1">
      <c r="B366" s="59"/>
    </row>
    <row r="367" ht="14.25" customHeight="1">
      <c r="B367" s="59"/>
    </row>
    <row r="368" ht="14.25" customHeight="1">
      <c r="B368" s="59"/>
    </row>
    <row r="369" ht="14.25" customHeight="1">
      <c r="B369" s="59"/>
    </row>
    <row r="370" ht="14.25" customHeight="1">
      <c r="B370" s="59"/>
    </row>
    <row r="371" ht="14.25" customHeight="1">
      <c r="B371" s="59"/>
    </row>
    <row r="372" ht="14.25" customHeight="1">
      <c r="B372" s="59"/>
    </row>
    <row r="373" ht="14.25" customHeight="1">
      <c r="B373" s="59"/>
    </row>
    <row r="374" ht="14.25" customHeight="1">
      <c r="B374" s="59"/>
    </row>
    <row r="375" ht="14.25" customHeight="1">
      <c r="B375" s="59"/>
    </row>
    <row r="376" ht="14.25" customHeight="1">
      <c r="B376" s="59"/>
    </row>
    <row r="377" ht="14.25" customHeight="1">
      <c r="B377" s="59"/>
    </row>
    <row r="378" ht="14.25" customHeight="1">
      <c r="B378" s="59"/>
    </row>
    <row r="379" ht="14.25" customHeight="1">
      <c r="B379" s="59"/>
    </row>
    <row r="380" ht="14.25" customHeight="1">
      <c r="B380" s="59"/>
    </row>
    <row r="381" ht="14.25" customHeight="1">
      <c r="B381" s="59"/>
    </row>
    <row r="382" ht="14.25" customHeight="1">
      <c r="B382" s="59"/>
    </row>
    <row r="383" ht="14.25" customHeight="1">
      <c r="B383" s="59"/>
    </row>
    <row r="384" ht="14.25" customHeight="1">
      <c r="B384" s="59"/>
    </row>
    <row r="385" ht="14.25" customHeight="1">
      <c r="B385" s="59"/>
    </row>
    <row r="386" ht="14.25" customHeight="1">
      <c r="B386" s="59"/>
    </row>
    <row r="387" ht="14.25" customHeight="1">
      <c r="B387" s="59"/>
    </row>
    <row r="388" ht="14.25" customHeight="1">
      <c r="B388" s="59"/>
    </row>
    <row r="389" ht="14.25" customHeight="1">
      <c r="B389" s="59"/>
    </row>
    <row r="390" ht="14.25" customHeight="1">
      <c r="B390" s="59"/>
    </row>
    <row r="391" ht="14.25" customHeight="1">
      <c r="B391" s="59"/>
    </row>
    <row r="392" ht="14.25" customHeight="1">
      <c r="B392" s="59"/>
    </row>
    <row r="393" ht="14.25" customHeight="1">
      <c r="B393" s="59"/>
    </row>
    <row r="394" ht="14.25" customHeight="1">
      <c r="B394" s="59"/>
    </row>
    <row r="395" ht="14.25" customHeight="1">
      <c r="B395" s="59"/>
    </row>
    <row r="396" ht="14.25" customHeight="1">
      <c r="B396" s="59"/>
    </row>
    <row r="397" ht="14.25" customHeight="1">
      <c r="B397" s="59"/>
    </row>
    <row r="398" ht="14.25" customHeight="1">
      <c r="B398" s="59"/>
    </row>
    <row r="399" ht="14.25" customHeight="1">
      <c r="B399" s="59"/>
    </row>
    <row r="400" ht="14.25" customHeight="1">
      <c r="B400" s="59"/>
    </row>
    <row r="401" ht="14.25" customHeight="1">
      <c r="B401" s="59"/>
    </row>
    <row r="402" ht="14.25" customHeight="1">
      <c r="B402" s="59"/>
    </row>
    <row r="403" ht="14.25" customHeight="1">
      <c r="B403" s="59"/>
    </row>
    <row r="404" ht="14.25" customHeight="1">
      <c r="B404" s="59"/>
    </row>
    <row r="405" ht="14.25" customHeight="1">
      <c r="B405" s="59"/>
    </row>
    <row r="406" ht="14.25" customHeight="1">
      <c r="B406" s="59"/>
    </row>
    <row r="407" ht="14.25" customHeight="1">
      <c r="B407" s="59"/>
    </row>
    <row r="408" ht="14.25" customHeight="1">
      <c r="B408" s="59"/>
    </row>
    <row r="409" ht="14.25" customHeight="1">
      <c r="B409" s="59"/>
    </row>
    <row r="410" ht="14.25" customHeight="1">
      <c r="B410" s="59"/>
    </row>
    <row r="411" ht="14.25" customHeight="1">
      <c r="B411" s="59"/>
    </row>
    <row r="412" ht="14.25" customHeight="1">
      <c r="B412" s="59"/>
    </row>
    <row r="413" ht="14.25" customHeight="1">
      <c r="B413" s="59"/>
    </row>
    <row r="414" ht="14.25" customHeight="1">
      <c r="B414" s="59"/>
    </row>
    <row r="415" ht="14.25" customHeight="1">
      <c r="B415" s="59"/>
    </row>
    <row r="416" ht="14.25" customHeight="1">
      <c r="B416" s="59"/>
    </row>
    <row r="417" ht="14.25" customHeight="1">
      <c r="B417" s="59"/>
    </row>
    <row r="418" ht="14.25" customHeight="1">
      <c r="B418" s="59"/>
    </row>
    <row r="419" ht="14.25" customHeight="1">
      <c r="B419" s="59"/>
    </row>
    <row r="420" ht="14.25" customHeight="1">
      <c r="B420" s="59"/>
    </row>
    <row r="421" ht="14.25" customHeight="1">
      <c r="B421" s="59"/>
    </row>
    <row r="422" ht="14.25" customHeight="1">
      <c r="B422" s="59"/>
    </row>
    <row r="423" ht="14.25" customHeight="1">
      <c r="B423" s="59"/>
    </row>
    <row r="424" ht="14.25" customHeight="1">
      <c r="B424" s="59"/>
    </row>
    <row r="425" ht="14.25" customHeight="1">
      <c r="B425" s="59"/>
    </row>
    <row r="426" ht="14.25" customHeight="1">
      <c r="B426" s="59"/>
    </row>
    <row r="427" ht="14.25" customHeight="1">
      <c r="B427" s="59"/>
    </row>
    <row r="428" ht="14.25" customHeight="1">
      <c r="B428" s="59"/>
    </row>
    <row r="429" ht="14.25" customHeight="1">
      <c r="B429" s="59"/>
    </row>
    <row r="430" ht="14.25" customHeight="1">
      <c r="B430" s="59"/>
    </row>
    <row r="431" ht="14.25" customHeight="1">
      <c r="B431" s="59"/>
    </row>
    <row r="432" ht="14.25" customHeight="1">
      <c r="B432" s="59"/>
    </row>
    <row r="433" ht="14.25" customHeight="1">
      <c r="B433" s="59"/>
    </row>
    <row r="434" ht="14.25" customHeight="1">
      <c r="B434" s="59"/>
    </row>
    <row r="435" ht="14.25" customHeight="1">
      <c r="B435" s="59"/>
    </row>
    <row r="436" ht="14.25" customHeight="1">
      <c r="B436" s="59"/>
    </row>
    <row r="437" ht="14.25" customHeight="1">
      <c r="B437" s="59"/>
    </row>
    <row r="438" ht="14.25" customHeight="1">
      <c r="B438" s="59"/>
    </row>
    <row r="439" ht="14.25" customHeight="1">
      <c r="B439" s="59"/>
    </row>
    <row r="440" ht="14.25" customHeight="1">
      <c r="B440" s="59"/>
    </row>
    <row r="441" ht="14.25" customHeight="1">
      <c r="B441" s="59"/>
    </row>
    <row r="442" ht="14.25" customHeight="1">
      <c r="B442" s="59"/>
    </row>
    <row r="443" ht="14.25" customHeight="1">
      <c r="B443" s="59"/>
    </row>
    <row r="444" ht="14.25" customHeight="1">
      <c r="B444" s="59"/>
    </row>
    <row r="445" ht="14.25" customHeight="1">
      <c r="B445" s="59"/>
    </row>
    <row r="446" ht="14.25" customHeight="1">
      <c r="B446" s="59"/>
    </row>
    <row r="447" ht="14.25" customHeight="1">
      <c r="B447" s="59"/>
    </row>
    <row r="448" ht="14.25" customHeight="1">
      <c r="B448" s="59"/>
    </row>
    <row r="449" ht="14.25" customHeight="1">
      <c r="B449" s="59"/>
    </row>
    <row r="450" ht="14.25" customHeight="1">
      <c r="B450" s="59"/>
    </row>
    <row r="451" ht="14.25" customHeight="1">
      <c r="B451" s="59"/>
    </row>
    <row r="452" ht="14.25" customHeight="1">
      <c r="B452" s="59"/>
    </row>
    <row r="453" ht="14.25" customHeight="1">
      <c r="B453" s="59"/>
    </row>
    <row r="454" ht="14.25" customHeight="1">
      <c r="B454" s="59"/>
    </row>
    <row r="455" ht="14.25" customHeight="1">
      <c r="B455" s="59"/>
    </row>
    <row r="456" ht="14.25" customHeight="1">
      <c r="B456" s="59"/>
    </row>
    <row r="457" ht="14.25" customHeight="1">
      <c r="B457" s="59"/>
    </row>
    <row r="458" ht="14.25" customHeight="1">
      <c r="B458" s="59"/>
    </row>
    <row r="459" ht="14.25" customHeight="1">
      <c r="B459" s="59"/>
    </row>
    <row r="460" ht="14.25" customHeight="1">
      <c r="B460" s="59"/>
    </row>
    <row r="461" ht="14.25" customHeight="1">
      <c r="B461" s="59"/>
    </row>
    <row r="462" ht="14.25" customHeight="1">
      <c r="B462" s="59"/>
    </row>
    <row r="463" ht="14.25" customHeight="1">
      <c r="B463" s="59"/>
    </row>
    <row r="464" ht="14.25" customHeight="1">
      <c r="B464" s="59"/>
    </row>
    <row r="465" ht="14.25" customHeight="1">
      <c r="B465" s="59"/>
    </row>
    <row r="466" ht="14.25" customHeight="1">
      <c r="B466" s="59"/>
    </row>
    <row r="467" ht="14.25" customHeight="1">
      <c r="B467" s="59"/>
    </row>
    <row r="468" ht="14.25" customHeight="1">
      <c r="B468" s="59"/>
    </row>
    <row r="469" ht="14.25" customHeight="1">
      <c r="B469" s="59"/>
    </row>
    <row r="470" ht="14.25" customHeight="1">
      <c r="B470" s="59"/>
    </row>
    <row r="471" ht="14.25" customHeight="1">
      <c r="B471" s="59"/>
    </row>
    <row r="472" ht="14.25" customHeight="1">
      <c r="B472" s="59"/>
    </row>
    <row r="473" ht="14.25" customHeight="1">
      <c r="B473" s="59"/>
    </row>
    <row r="474" ht="14.25" customHeight="1">
      <c r="B474" s="59"/>
    </row>
    <row r="475" ht="14.25" customHeight="1">
      <c r="B475" s="59"/>
    </row>
    <row r="476" ht="14.25" customHeight="1">
      <c r="B476" s="59"/>
    </row>
    <row r="477" ht="14.25" customHeight="1">
      <c r="B477" s="59"/>
    </row>
    <row r="478" ht="14.25" customHeight="1">
      <c r="B478" s="59"/>
    </row>
    <row r="479" ht="14.25" customHeight="1">
      <c r="B479" s="59"/>
    </row>
    <row r="480" ht="14.25" customHeight="1">
      <c r="B480" s="59"/>
    </row>
    <row r="481" ht="14.25" customHeight="1">
      <c r="B481" s="59"/>
    </row>
    <row r="482" ht="14.25" customHeight="1">
      <c r="B482" s="59"/>
    </row>
    <row r="483" ht="14.25" customHeight="1">
      <c r="B483" s="59"/>
    </row>
    <row r="484" ht="14.25" customHeight="1">
      <c r="B484" s="59"/>
    </row>
    <row r="485" ht="14.25" customHeight="1">
      <c r="B485" s="59"/>
    </row>
    <row r="486" ht="14.25" customHeight="1">
      <c r="B486" s="59"/>
    </row>
    <row r="487" ht="14.25" customHeight="1">
      <c r="B487" s="59"/>
    </row>
    <row r="488" ht="14.25" customHeight="1">
      <c r="B488" s="59"/>
    </row>
    <row r="489" ht="14.25" customHeight="1">
      <c r="B489" s="59"/>
    </row>
    <row r="490" ht="14.25" customHeight="1">
      <c r="B490" s="59"/>
    </row>
    <row r="491" ht="14.25" customHeight="1">
      <c r="B491" s="59"/>
    </row>
    <row r="492" ht="14.25" customHeight="1">
      <c r="B492" s="59"/>
    </row>
    <row r="493" ht="14.25" customHeight="1">
      <c r="B493" s="59"/>
    </row>
    <row r="494" ht="14.25" customHeight="1">
      <c r="B494" s="59"/>
    </row>
    <row r="495" ht="14.25" customHeight="1">
      <c r="B495" s="59"/>
    </row>
    <row r="496" ht="14.25" customHeight="1">
      <c r="B496" s="59"/>
    </row>
    <row r="497" ht="14.25" customHeight="1">
      <c r="B497" s="59"/>
    </row>
    <row r="498" ht="14.25" customHeight="1">
      <c r="B498" s="59"/>
    </row>
    <row r="499" ht="14.25" customHeight="1">
      <c r="B499" s="59"/>
    </row>
    <row r="500" ht="14.25" customHeight="1">
      <c r="B500" s="59"/>
    </row>
    <row r="501" ht="14.25" customHeight="1">
      <c r="B501" s="59"/>
    </row>
    <row r="502" ht="14.25" customHeight="1">
      <c r="B502" s="59"/>
    </row>
    <row r="503" ht="14.25" customHeight="1">
      <c r="B503" s="59"/>
    </row>
    <row r="504" ht="14.25" customHeight="1">
      <c r="B504" s="59"/>
    </row>
    <row r="505" ht="14.25" customHeight="1">
      <c r="B505" s="59"/>
    </row>
    <row r="506" ht="14.25" customHeight="1">
      <c r="B506" s="59"/>
    </row>
    <row r="507" ht="14.25" customHeight="1">
      <c r="B507" s="59"/>
    </row>
    <row r="508" ht="14.25" customHeight="1">
      <c r="B508" s="59"/>
    </row>
    <row r="509" ht="14.25" customHeight="1">
      <c r="B509" s="59"/>
    </row>
    <row r="510" ht="14.25" customHeight="1">
      <c r="B510" s="59"/>
    </row>
    <row r="511" ht="14.25" customHeight="1">
      <c r="B511" s="59"/>
    </row>
    <row r="512" ht="14.25" customHeight="1">
      <c r="B512" s="59"/>
    </row>
    <row r="513" ht="14.25" customHeight="1">
      <c r="B513" s="59"/>
    </row>
    <row r="514" ht="14.25" customHeight="1">
      <c r="B514" s="59"/>
    </row>
    <row r="515" ht="14.25" customHeight="1">
      <c r="B515" s="59"/>
    </row>
    <row r="516" ht="14.25" customHeight="1">
      <c r="B516" s="59"/>
    </row>
    <row r="517" ht="14.25" customHeight="1">
      <c r="B517" s="59"/>
    </row>
    <row r="518" ht="14.25" customHeight="1">
      <c r="B518" s="59"/>
    </row>
    <row r="519" ht="14.25" customHeight="1">
      <c r="B519" s="59"/>
    </row>
    <row r="520" ht="14.25" customHeight="1">
      <c r="B520" s="59"/>
    </row>
    <row r="521" ht="14.25" customHeight="1">
      <c r="B521" s="59"/>
    </row>
    <row r="522" ht="14.25" customHeight="1">
      <c r="B522" s="59"/>
    </row>
    <row r="523" ht="14.25" customHeight="1">
      <c r="B523" s="59"/>
    </row>
    <row r="524" ht="14.25" customHeight="1">
      <c r="B524" s="59"/>
    </row>
    <row r="525" ht="14.25" customHeight="1">
      <c r="B525" s="59"/>
    </row>
    <row r="526" ht="14.25" customHeight="1">
      <c r="B526" s="59"/>
    </row>
    <row r="527" ht="14.25" customHeight="1">
      <c r="B527" s="59"/>
    </row>
    <row r="528" ht="14.25" customHeight="1">
      <c r="B528" s="59"/>
    </row>
    <row r="529" ht="14.25" customHeight="1">
      <c r="B529" s="59"/>
    </row>
    <row r="530" ht="14.25" customHeight="1">
      <c r="B530" s="59"/>
    </row>
    <row r="531" ht="14.25" customHeight="1">
      <c r="B531" s="59"/>
    </row>
    <row r="532" ht="14.25" customHeight="1">
      <c r="B532" s="59"/>
    </row>
    <row r="533" ht="14.25" customHeight="1">
      <c r="B533" s="59"/>
    </row>
    <row r="534" ht="14.25" customHeight="1">
      <c r="B534" s="59"/>
    </row>
    <row r="535" ht="14.25" customHeight="1">
      <c r="B535" s="59"/>
    </row>
    <row r="536" ht="14.25" customHeight="1">
      <c r="B536" s="59"/>
    </row>
    <row r="537" ht="14.25" customHeight="1">
      <c r="B537" s="59"/>
    </row>
    <row r="538" ht="14.25" customHeight="1">
      <c r="B538" s="59"/>
    </row>
    <row r="539" ht="14.25" customHeight="1">
      <c r="B539" s="59"/>
    </row>
    <row r="540" ht="14.25" customHeight="1">
      <c r="B540" s="59"/>
    </row>
    <row r="541" ht="14.25" customHeight="1">
      <c r="B541" s="59"/>
    </row>
    <row r="542" ht="14.25" customHeight="1">
      <c r="B542" s="59"/>
    </row>
    <row r="543" ht="14.25" customHeight="1">
      <c r="B543" s="59"/>
    </row>
    <row r="544" ht="14.25" customHeight="1">
      <c r="B544" s="59"/>
    </row>
    <row r="545" ht="14.25" customHeight="1">
      <c r="B545" s="59"/>
    </row>
    <row r="546" ht="14.25" customHeight="1">
      <c r="B546" s="59"/>
    </row>
    <row r="547" ht="14.25" customHeight="1">
      <c r="B547" s="59"/>
    </row>
    <row r="548" ht="14.25" customHeight="1">
      <c r="B548" s="59"/>
    </row>
    <row r="549" ht="14.25" customHeight="1">
      <c r="B549" s="59"/>
    </row>
    <row r="550" ht="14.25" customHeight="1">
      <c r="B550" s="59"/>
    </row>
    <row r="551" ht="14.25" customHeight="1">
      <c r="B551" s="59"/>
    </row>
    <row r="552" ht="14.25" customHeight="1">
      <c r="B552" s="59"/>
    </row>
    <row r="553" ht="14.25" customHeight="1">
      <c r="B553" s="59"/>
    </row>
    <row r="554" ht="14.25" customHeight="1">
      <c r="B554" s="59"/>
    </row>
    <row r="555" ht="14.25" customHeight="1">
      <c r="B555" s="59"/>
    </row>
    <row r="556" ht="14.25" customHeight="1">
      <c r="B556" s="59"/>
    </row>
    <row r="557" ht="14.25" customHeight="1">
      <c r="B557" s="59"/>
    </row>
    <row r="558" ht="14.25" customHeight="1">
      <c r="B558" s="59"/>
    </row>
    <row r="559" ht="14.25" customHeight="1">
      <c r="B559" s="59"/>
    </row>
    <row r="560" ht="14.25" customHeight="1">
      <c r="B560" s="59"/>
    </row>
    <row r="561" ht="14.25" customHeight="1">
      <c r="B561" s="59"/>
    </row>
    <row r="562" ht="14.25" customHeight="1">
      <c r="B562" s="59"/>
    </row>
    <row r="563" ht="14.25" customHeight="1">
      <c r="B563" s="59"/>
    </row>
    <row r="564" ht="14.25" customHeight="1">
      <c r="B564" s="59"/>
    </row>
    <row r="565" ht="14.25" customHeight="1">
      <c r="B565" s="59"/>
    </row>
    <row r="566" ht="14.25" customHeight="1">
      <c r="B566" s="59"/>
    </row>
    <row r="567" ht="14.25" customHeight="1">
      <c r="B567" s="59"/>
    </row>
    <row r="568" ht="14.25" customHeight="1">
      <c r="B568" s="59"/>
    </row>
    <row r="569" ht="14.25" customHeight="1">
      <c r="B569" s="59"/>
    </row>
    <row r="570" ht="14.25" customHeight="1">
      <c r="B570" s="59"/>
    </row>
    <row r="571" ht="14.25" customHeight="1">
      <c r="B571" s="59"/>
    </row>
    <row r="572" ht="14.25" customHeight="1">
      <c r="B572" s="59"/>
    </row>
    <row r="573" ht="14.25" customHeight="1">
      <c r="B573" s="59"/>
    </row>
    <row r="574" ht="14.25" customHeight="1">
      <c r="B574" s="59"/>
    </row>
    <row r="575" ht="14.25" customHeight="1">
      <c r="B575" s="59"/>
    </row>
    <row r="576" ht="14.25" customHeight="1">
      <c r="B576" s="59"/>
    </row>
    <row r="577" ht="14.25" customHeight="1">
      <c r="B577" s="59"/>
    </row>
    <row r="578" ht="14.25" customHeight="1">
      <c r="B578" s="59"/>
    </row>
    <row r="579" ht="14.25" customHeight="1">
      <c r="B579" s="59"/>
    </row>
    <row r="580" ht="14.25" customHeight="1">
      <c r="B580" s="59"/>
    </row>
    <row r="581" ht="14.25" customHeight="1">
      <c r="B581" s="59"/>
    </row>
    <row r="582" ht="14.25" customHeight="1">
      <c r="B582" s="59"/>
    </row>
    <row r="583" ht="14.25" customHeight="1">
      <c r="B583" s="59"/>
    </row>
    <row r="584" ht="14.25" customHeight="1">
      <c r="B584" s="59"/>
    </row>
    <row r="585" ht="14.25" customHeight="1">
      <c r="B585" s="59"/>
    </row>
    <row r="586" ht="14.25" customHeight="1">
      <c r="B586" s="59"/>
    </row>
    <row r="587" ht="14.25" customHeight="1">
      <c r="B587" s="59"/>
    </row>
    <row r="588" ht="14.25" customHeight="1">
      <c r="B588" s="59"/>
    </row>
    <row r="589" ht="14.25" customHeight="1">
      <c r="B589" s="59"/>
    </row>
    <row r="590" ht="14.25" customHeight="1">
      <c r="B590" s="59"/>
    </row>
    <row r="591" ht="14.25" customHeight="1">
      <c r="B591" s="59"/>
    </row>
    <row r="592" ht="14.25" customHeight="1">
      <c r="B592" s="59"/>
    </row>
    <row r="593" ht="14.25" customHeight="1">
      <c r="B593" s="59"/>
    </row>
    <row r="594" ht="14.25" customHeight="1">
      <c r="B594" s="59"/>
    </row>
    <row r="595" ht="14.25" customHeight="1">
      <c r="B595" s="59"/>
    </row>
    <row r="596" ht="14.25" customHeight="1">
      <c r="B596" s="59"/>
    </row>
    <row r="597" ht="14.25" customHeight="1">
      <c r="B597" s="59"/>
    </row>
    <row r="598" ht="14.25" customHeight="1">
      <c r="B598" s="59"/>
    </row>
    <row r="599" ht="14.25" customHeight="1">
      <c r="B599" s="59"/>
    </row>
    <row r="600" ht="14.25" customHeight="1">
      <c r="B600" s="59"/>
    </row>
    <row r="601" ht="14.25" customHeight="1">
      <c r="B601" s="59"/>
    </row>
    <row r="602" ht="14.25" customHeight="1">
      <c r="B602" s="59"/>
    </row>
    <row r="603" ht="14.25" customHeight="1">
      <c r="B603" s="59"/>
    </row>
    <row r="604" ht="14.25" customHeight="1">
      <c r="B604" s="59"/>
    </row>
    <row r="605" ht="14.25" customHeight="1">
      <c r="B605" s="59"/>
    </row>
    <row r="606" ht="14.25" customHeight="1">
      <c r="B606" s="59"/>
    </row>
    <row r="607" ht="14.25" customHeight="1">
      <c r="B607" s="59"/>
    </row>
    <row r="608" ht="14.25" customHeight="1">
      <c r="B608" s="59"/>
    </row>
    <row r="609" ht="14.25" customHeight="1">
      <c r="B609" s="59"/>
    </row>
    <row r="610" ht="14.25" customHeight="1">
      <c r="B610" s="59"/>
    </row>
    <row r="611" ht="14.25" customHeight="1">
      <c r="B611" s="59"/>
    </row>
    <row r="612" ht="14.25" customHeight="1">
      <c r="B612" s="59"/>
    </row>
    <row r="613" ht="14.25" customHeight="1">
      <c r="B613" s="59"/>
    </row>
    <row r="614" ht="14.25" customHeight="1">
      <c r="B614" s="59"/>
    </row>
    <row r="615" ht="14.25" customHeight="1">
      <c r="B615" s="59"/>
    </row>
    <row r="616" ht="14.25" customHeight="1">
      <c r="B616" s="59"/>
    </row>
    <row r="617" ht="14.25" customHeight="1">
      <c r="B617" s="59"/>
    </row>
    <row r="618" ht="14.25" customHeight="1">
      <c r="B618" s="59"/>
    </row>
    <row r="619" ht="14.25" customHeight="1">
      <c r="B619" s="59"/>
    </row>
    <row r="620" ht="14.25" customHeight="1">
      <c r="B620" s="59"/>
    </row>
    <row r="621" ht="14.25" customHeight="1">
      <c r="B621" s="59"/>
    </row>
    <row r="622" ht="14.25" customHeight="1">
      <c r="B622" s="59"/>
    </row>
    <row r="623" ht="14.25" customHeight="1">
      <c r="B623" s="59"/>
    </row>
    <row r="624" ht="14.25" customHeight="1">
      <c r="B624" s="59"/>
    </row>
    <row r="625" ht="14.25" customHeight="1">
      <c r="B625" s="59"/>
    </row>
    <row r="626" ht="14.25" customHeight="1">
      <c r="B626" s="59"/>
    </row>
    <row r="627" ht="14.25" customHeight="1">
      <c r="B627" s="59"/>
    </row>
    <row r="628" ht="14.25" customHeight="1">
      <c r="B628" s="59"/>
    </row>
    <row r="629" ht="14.25" customHeight="1">
      <c r="B629" s="59"/>
    </row>
    <row r="630" ht="14.25" customHeight="1">
      <c r="B630" s="59"/>
    </row>
    <row r="631" ht="14.25" customHeight="1">
      <c r="B631" s="59"/>
    </row>
    <row r="632" ht="14.25" customHeight="1">
      <c r="B632" s="59"/>
    </row>
    <row r="633" ht="14.25" customHeight="1">
      <c r="B633" s="59"/>
    </row>
    <row r="634" ht="14.25" customHeight="1">
      <c r="B634" s="59"/>
    </row>
    <row r="635" ht="14.25" customHeight="1">
      <c r="B635" s="59"/>
    </row>
    <row r="636" ht="14.25" customHeight="1">
      <c r="B636" s="59"/>
    </row>
    <row r="637" ht="14.25" customHeight="1">
      <c r="B637" s="59"/>
    </row>
    <row r="638" ht="14.25" customHeight="1">
      <c r="B638" s="59"/>
    </row>
    <row r="639" ht="14.25" customHeight="1">
      <c r="B639" s="59"/>
    </row>
    <row r="640" ht="14.25" customHeight="1">
      <c r="B640" s="59"/>
    </row>
    <row r="641" ht="14.25" customHeight="1">
      <c r="B641" s="59"/>
    </row>
    <row r="642" ht="14.25" customHeight="1">
      <c r="B642" s="59"/>
    </row>
    <row r="643" ht="14.25" customHeight="1">
      <c r="B643" s="59"/>
    </row>
    <row r="644" ht="14.25" customHeight="1">
      <c r="B644" s="59"/>
    </row>
    <row r="645" ht="14.25" customHeight="1">
      <c r="B645" s="59"/>
    </row>
    <row r="646" ht="14.25" customHeight="1">
      <c r="B646" s="59"/>
    </row>
    <row r="647" ht="14.25" customHeight="1">
      <c r="B647" s="59"/>
    </row>
    <row r="648" ht="14.25" customHeight="1">
      <c r="B648" s="59"/>
    </row>
    <row r="649" ht="14.25" customHeight="1">
      <c r="B649" s="59"/>
    </row>
    <row r="650" ht="14.25" customHeight="1">
      <c r="B650" s="59"/>
    </row>
    <row r="651" ht="14.25" customHeight="1">
      <c r="B651" s="59"/>
    </row>
    <row r="652" ht="14.25" customHeight="1">
      <c r="B652" s="59"/>
    </row>
    <row r="653" ht="14.25" customHeight="1">
      <c r="B653" s="59"/>
    </row>
    <row r="654" ht="14.25" customHeight="1">
      <c r="B654" s="59"/>
    </row>
    <row r="655" ht="14.25" customHeight="1">
      <c r="B655" s="59"/>
    </row>
    <row r="656" ht="14.25" customHeight="1">
      <c r="B656" s="59"/>
    </row>
    <row r="657" ht="14.25" customHeight="1">
      <c r="B657" s="59"/>
    </row>
    <row r="658" ht="14.25" customHeight="1">
      <c r="B658" s="59"/>
    </row>
    <row r="659" ht="14.25" customHeight="1">
      <c r="B659" s="59"/>
    </row>
    <row r="660" ht="14.25" customHeight="1">
      <c r="B660" s="59"/>
    </row>
    <row r="661" ht="14.25" customHeight="1">
      <c r="B661" s="59"/>
    </row>
    <row r="662" ht="14.25" customHeight="1">
      <c r="B662" s="59"/>
    </row>
    <row r="663" ht="14.25" customHeight="1">
      <c r="B663" s="59"/>
    </row>
    <row r="664" ht="14.25" customHeight="1">
      <c r="B664" s="59"/>
    </row>
    <row r="665" ht="14.25" customHeight="1">
      <c r="B665" s="59"/>
    </row>
    <row r="666" ht="14.25" customHeight="1">
      <c r="B666" s="59"/>
    </row>
    <row r="667" ht="14.25" customHeight="1">
      <c r="B667" s="59"/>
    </row>
    <row r="668" ht="14.25" customHeight="1">
      <c r="B668" s="59"/>
    </row>
    <row r="669" ht="14.25" customHeight="1">
      <c r="B669" s="59"/>
    </row>
    <row r="670" ht="14.25" customHeight="1">
      <c r="B670" s="59"/>
    </row>
    <row r="671" ht="14.25" customHeight="1">
      <c r="B671" s="59"/>
    </row>
    <row r="672" ht="14.25" customHeight="1">
      <c r="B672" s="59"/>
    </row>
    <row r="673" ht="14.25" customHeight="1">
      <c r="B673" s="59"/>
    </row>
    <row r="674" ht="14.25" customHeight="1">
      <c r="B674" s="59"/>
    </row>
    <row r="675" ht="14.25" customHeight="1">
      <c r="B675" s="59"/>
    </row>
    <row r="676" ht="14.25" customHeight="1">
      <c r="B676" s="59"/>
    </row>
    <row r="677" ht="14.25" customHeight="1">
      <c r="B677" s="59"/>
    </row>
    <row r="678" ht="14.25" customHeight="1">
      <c r="B678" s="59"/>
    </row>
    <row r="679" ht="14.25" customHeight="1">
      <c r="B679" s="59"/>
    </row>
    <row r="680" ht="14.25" customHeight="1">
      <c r="B680" s="59"/>
    </row>
    <row r="681" ht="14.25" customHeight="1">
      <c r="B681" s="59"/>
    </row>
    <row r="682" ht="14.25" customHeight="1">
      <c r="B682" s="59"/>
    </row>
    <row r="683" ht="14.25" customHeight="1">
      <c r="B683" s="59"/>
    </row>
    <row r="684" ht="14.25" customHeight="1">
      <c r="B684" s="59"/>
    </row>
    <row r="685" ht="14.25" customHeight="1">
      <c r="B685" s="59"/>
    </row>
    <row r="686" ht="14.25" customHeight="1">
      <c r="B686" s="59"/>
    </row>
    <row r="687" ht="14.25" customHeight="1">
      <c r="B687" s="59"/>
    </row>
    <row r="688" ht="14.25" customHeight="1">
      <c r="B688" s="59"/>
    </row>
    <row r="689" ht="14.25" customHeight="1">
      <c r="B689" s="59"/>
    </row>
    <row r="690" ht="14.25" customHeight="1">
      <c r="B690" s="59"/>
    </row>
    <row r="691" ht="14.25" customHeight="1">
      <c r="B691" s="59"/>
    </row>
    <row r="692" ht="14.25" customHeight="1">
      <c r="B692" s="59"/>
    </row>
    <row r="693" ht="14.25" customHeight="1">
      <c r="B693" s="59"/>
    </row>
    <row r="694" ht="14.25" customHeight="1">
      <c r="B694" s="59"/>
    </row>
    <row r="695" ht="14.25" customHeight="1">
      <c r="B695" s="59"/>
    </row>
    <row r="696" ht="14.25" customHeight="1">
      <c r="B696" s="59"/>
    </row>
    <row r="697" ht="14.25" customHeight="1">
      <c r="B697" s="59"/>
    </row>
    <row r="698" ht="14.25" customHeight="1">
      <c r="B698" s="59"/>
    </row>
    <row r="699" ht="14.25" customHeight="1">
      <c r="B699" s="59"/>
    </row>
    <row r="700" ht="14.25" customHeight="1">
      <c r="B700" s="59"/>
    </row>
    <row r="701" ht="14.25" customHeight="1">
      <c r="B701" s="59"/>
    </row>
    <row r="702" ht="14.25" customHeight="1">
      <c r="B702" s="59"/>
    </row>
    <row r="703" ht="14.25" customHeight="1">
      <c r="B703" s="59"/>
    </row>
    <row r="704" ht="14.25" customHeight="1">
      <c r="B704" s="59"/>
    </row>
    <row r="705" ht="14.25" customHeight="1">
      <c r="B705" s="59"/>
    </row>
    <row r="706" ht="14.25" customHeight="1">
      <c r="B706" s="59"/>
    </row>
    <row r="707" ht="14.25" customHeight="1">
      <c r="B707" s="59"/>
    </row>
    <row r="708" ht="14.25" customHeight="1">
      <c r="B708" s="59"/>
    </row>
    <row r="709" ht="14.25" customHeight="1">
      <c r="B709" s="59"/>
    </row>
    <row r="710" ht="14.25" customHeight="1">
      <c r="B710" s="59"/>
    </row>
    <row r="711" ht="14.25" customHeight="1">
      <c r="B711" s="59"/>
    </row>
    <row r="712" ht="14.25" customHeight="1">
      <c r="B712" s="59"/>
    </row>
    <row r="713" ht="14.25" customHeight="1">
      <c r="B713" s="59"/>
    </row>
    <row r="714" ht="14.25" customHeight="1">
      <c r="B714" s="59"/>
    </row>
    <row r="715" ht="14.25" customHeight="1">
      <c r="B715" s="59"/>
    </row>
    <row r="716" ht="14.25" customHeight="1">
      <c r="B716" s="59"/>
    </row>
    <row r="717" ht="14.25" customHeight="1">
      <c r="B717" s="59"/>
    </row>
    <row r="718" ht="14.25" customHeight="1">
      <c r="B718" s="59"/>
    </row>
    <row r="719" ht="14.25" customHeight="1">
      <c r="B719" s="59"/>
    </row>
    <row r="720" ht="14.25" customHeight="1">
      <c r="B720" s="59"/>
    </row>
    <row r="721" ht="14.25" customHeight="1">
      <c r="B721" s="59"/>
    </row>
    <row r="722" ht="14.25" customHeight="1">
      <c r="B722" s="59"/>
    </row>
    <row r="723" ht="14.25" customHeight="1">
      <c r="B723" s="59"/>
    </row>
    <row r="724" ht="14.25" customHeight="1">
      <c r="B724" s="59"/>
    </row>
    <row r="725" ht="14.25" customHeight="1">
      <c r="B725" s="59"/>
    </row>
    <row r="726" ht="14.25" customHeight="1">
      <c r="B726" s="59"/>
    </row>
    <row r="727" ht="14.25" customHeight="1">
      <c r="B727" s="59"/>
    </row>
    <row r="728" ht="14.25" customHeight="1">
      <c r="B728" s="59"/>
    </row>
    <row r="729" ht="14.25" customHeight="1">
      <c r="B729" s="59"/>
    </row>
    <row r="730" ht="14.25" customHeight="1">
      <c r="B730" s="59"/>
    </row>
    <row r="731" ht="14.25" customHeight="1">
      <c r="B731" s="59"/>
    </row>
    <row r="732" ht="14.25" customHeight="1">
      <c r="B732" s="59"/>
    </row>
    <row r="733" ht="14.25" customHeight="1">
      <c r="B733" s="59"/>
    </row>
    <row r="734" ht="14.25" customHeight="1">
      <c r="B734" s="59"/>
    </row>
    <row r="735" ht="14.25" customHeight="1">
      <c r="B735" s="59"/>
    </row>
    <row r="736" ht="14.25" customHeight="1">
      <c r="B736" s="59"/>
    </row>
    <row r="737" ht="14.25" customHeight="1">
      <c r="B737" s="59"/>
    </row>
    <row r="738" ht="14.25" customHeight="1">
      <c r="B738" s="59"/>
    </row>
    <row r="739" ht="14.25" customHeight="1">
      <c r="B739" s="59"/>
    </row>
    <row r="740" ht="14.25" customHeight="1">
      <c r="B740" s="59"/>
    </row>
    <row r="741" ht="14.25" customHeight="1">
      <c r="B741" s="59"/>
    </row>
    <row r="742" ht="14.25" customHeight="1">
      <c r="B742" s="59"/>
    </row>
    <row r="743" ht="14.25" customHeight="1">
      <c r="B743" s="59"/>
    </row>
    <row r="744" ht="14.25" customHeight="1">
      <c r="B744" s="59"/>
    </row>
    <row r="745" ht="14.25" customHeight="1">
      <c r="B745" s="59"/>
    </row>
    <row r="746" ht="14.25" customHeight="1">
      <c r="B746" s="59"/>
    </row>
    <row r="747" ht="14.25" customHeight="1">
      <c r="B747" s="59"/>
    </row>
    <row r="748" ht="14.25" customHeight="1">
      <c r="B748" s="59"/>
    </row>
    <row r="749" ht="14.25" customHeight="1">
      <c r="B749" s="59"/>
    </row>
    <row r="750" ht="14.25" customHeight="1">
      <c r="B750" s="59"/>
    </row>
    <row r="751" ht="14.25" customHeight="1">
      <c r="B751" s="59"/>
    </row>
    <row r="752" ht="14.25" customHeight="1">
      <c r="B752" s="59"/>
    </row>
    <row r="753" ht="14.25" customHeight="1">
      <c r="B753" s="59"/>
    </row>
    <row r="754" ht="14.25" customHeight="1">
      <c r="B754" s="59"/>
    </row>
    <row r="755" ht="14.25" customHeight="1">
      <c r="B755" s="59"/>
    </row>
    <row r="756" ht="14.25" customHeight="1">
      <c r="B756" s="59"/>
    </row>
    <row r="757" ht="14.25" customHeight="1">
      <c r="B757" s="59"/>
    </row>
    <row r="758" ht="14.25" customHeight="1">
      <c r="B758" s="59"/>
    </row>
    <row r="759" ht="14.25" customHeight="1">
      <c r="B759" s="59"/>
    </row>
    <row r="760" ht="14.25" customHeight="1">
      <c r="B760" s="59"/>
    </row>
    <row r="761" ht="14.25" customHeight="1">
      <c r="B761" s="59"/>
    </row>
    <row r="762" ht="14.25" customHeight="1">
      <c r="B762" s="59"/>
    </row>
    <row r="763" ht="14.25" customHeight="1">
      <c r="B763" s="59"/>
    </row>
    <row r="764" ht="14.25" customHeight="1">
      <c r="B764" s="59"/>
    </row>
    <row r="765" ht="14.25" customHeight="1">
      <c r="B765" s="59"/>
    </row>
    <row r="766" ht="14.25" customHeight="1">
      <c r="B766" s="59"/>
    </row>
    <row r="767" ht="14.25" customHeight="1">
      <c r="B767" s="59"/>
    </row>
    <row r="768" ht="14.25" customHeight="1">
      <c r="B768" s="59"/>
    </row>
    <row r="769" ht="14.25" customHeight="1">
      <c r="B769" s="59"/>
    </row>
    <row r="770" ht="14.25" customHeight="1">
      <c r="B770" s="59"/>
    </row>
    <row r="771" ht="14.25" customHeight="1">
      <c r="B771" s="59"/>
    </row>
    <row r="772" ht="14.25" customHeight="1">
      <c r="B772" s="59"/>
    </row>
    <row r="773" ht="14.25" customHeight="1">
      <c r="B773" s="59"/>
    </row>
    <row r="774" ht="14.25" customHeight="1">
      <c r="B774" s="59"/>
    </row>
    <row r="775" ht="14.25" customHeight="1">
      <c r="B775" s="59"/>
    </row>
    <row r="776" ht="14.25" customHeight="1">
      <c r="B776" s="59"/>
    </row>
    <row r="777" ht="14.25" customHeight="1">
      <c r="B777" s="59"/>
    </row>
    <row r="778" ht="14.25" customHeight="1">
      <c r="B778" s="59"/>
    </row>
    <row r="779" ht="14.25" customHeight="1">
      <c r="B779" s="59"/>
    </row>
    <row r="780" ht="14.25" customHeight="1">
      <c r="B780" s="59"/>
    </row>
    <row r="781" ht="14.25" customHeight="1">
      <c r="B781" s="59"/>
    </row>
    <row r="782" ht="14.25" customHeight="1">
      <c r="B782" s="59"/>
    </row>
    <row r="783" ht="14.25" customHeight="1">
      <c r="B783" s="59"/>
    </row>
    <row r="784" ht="14.25" customHeight="1">
      <c r="B784" s="59"/>
    </row>
    <row r="785" ht="14.25" customHeight="1">
      <c r="B785" s="59"/>
    </row>
    <row r="786" ht="14.25" customHeight="1">
      <c r="B786" s="59"/>
    </row>
    <row r="787" ht="14.25" customHeight="1">
      <c r="B787" s="59"/>
    </row>
    <row r="788" ht="14.25" customHeight="1">
      <c r="B788" s="59"/>
    </row>
    <row r="789" ht="14.25" customHeight="1">
      <c r="B789" s="59"/>
    </row>
    <row r="790" ht="14.25" customHeight="1">
      <c r="B790" s="59"/>
    </row>
    <row r="791" ht="14.25" customHeight="1">
      <c r="B791" s="59"/>
    </row>
    <row r="792" ht="14.25" customHeight="1">
      <c r="B792" s="59"/>
    </row>
    <row r="793" ht="14.25" customHeight="1">
      <c r="B793" s="59"/>
    </row>
    <row r="794" ht="14.25" customHeight="1">
      <c r="B794" s="59"/>
    </row>
    <row r="795" ht="14.25" customHeight="1">
      <c r="B795" s="59"/>
    </row>
    <row r="796" ht="14.25" customHeight="1">
      <c r="B796" s="59"/>
    </row>
    <row r="797" ht="14.25" customHeight="1">
      <c r="B797" s="59"/>
    </row>
    <row r="798" ht="14.25" customHeight="1">
      <c r="B798" s="59"/>
    </row>
    <row r="799" ht="14.25" customHeight="1">
      <c r="B799" s="59"/>
    </row>
    <row r="800" ht="14.25" customHeight="1">
      <c r="B800" s="59"/>
    </row>
    <row r="801" ht="14.25" customHeight="1">
      <c r="B801" s="59"/>
    </row>
    <row r="802" ht="14.25" customHeight="1">
      <c r="B802" s="59"/>
    </row>
    <row r="803" ht="14.25" customHeight="1">
      <c r="B803" s="59"/>
    </row>
    <row r="804" ht="14.25" customHeight="1">
      <c r="B804" s="59"/>
    </row>
    <row r="805" ht="14.25" customHeight="1">
      <c r="B805" s="59"/>
    </row>
    <row r="806" ht="14.25" customHeight="1">
      <c r="B806" s="59"/>
    </row>
    <row r="807" ht="14.25" customHeight="1">
      <c r="B807" s="59"/>
    </row>
    <row r="808" ht="14.25" customHeight="1">
      <c r="B808" s="59"/>
    </row>
    <row r="809" ht="14.25" customHeight="1">
      <c r="B809" s="59"/>
    </row>
    <row r="810" ht="14.25" customHeight="1">
      <c r="B810" s="59"/>
    </row>
    <row r="811" ht="14.25" customHeight="1">
      <c r="B811" s="59"/>
    </row>
    <row r="812" ht="14.25" customHeight="1">
      <c r="B812" s="59"/>
    </row>
    <row r="813" ht="14.25" customHeight="1">
      <c r="B813" s="59"/>
    </row>
    <row r="814" ht="14.25" customHeight="1">
      <c r="B814" s="59"/>
    </row>
    <row r="815" ht="14.25" customHeight="1">
      <c r="B815" s="59"/>
    </row>
    <row r="816" ht="14.25" customHeight="1">
      <c r="B816" s="59"/>
    </row>
    <row r="817" ht="14.25" customHeight="1">
      <c r="B817" s="59"/>
    </row>
    <row r="818" ht="14.25" customHeight="1">
      <c r="B818" s="59"/>
    </row>
    <row r="819" ht="14.25" customHeight="1">
      <c r="B819" s="59"/>
    </row>
    <row r="820" ht="14.25" customHeight="1">
      <c r="B820" s="59"/>
    </row>
    <row r="821" ht="14.25" customHeight="1">
      <c r="B821" s="59"/>
    </row>
    <row r="822" ht="14.25" customHeight="1">
      <c r="B822" s="59"/>
    </row>
    <row r="823" ht="14.25" customHeight="1">
      <c r="B823" s="59"/>
    </row>
    <row r="824" ht="14.25" customHeight="1">
      <c r="B824" s="59"/>
    </row>
    <row r="825" ht="14.25" customHeight="1">
      <c r="B825" s="59"/>
    </row>
    <row r="826" ht="14.25" customHeight="1">
      <c r="B826" s="59"/>
    </row>
    <row r="827" ht="14.25" customHeight="1">
      <c r="B827" s="59"/>
    </row>
    <row r="828" ht="14.25" customHeight="1">
      <c r="B828" s="59"/>
    </row>
    <row r="829" ht="14.25" customHeight="1">
      <c r="B829" s="59"/>
    </row>
    <row r="830" ht="14.25" customHeight="1">
      <c r="B830" s="59"/>
    </row>
    <row r="831" ht="14.25" customHeight="1">
      <c r="B831" s="59"/>
    </row>
    <row r="832" ht="14.25" customHeight="1">
      <c r="B832" s="59"/>
    </row>
    <row r="833" ht="14.25" customHeight="1">
      <c r="B833" s="59"/>
    </row>
    <row r="834" ht="14.25" customHeight="1">
      <c r="B834" s="59"/>
    </row>
    <row r="835" ht="14.25" customHeight="1">
      <c r="B835" s="59"/>
    </row>
    <row r="836" ht="14.25" customHeight="1">
      <c r="B836" s="59"/>
    </row>
    <row r="837" ht="14.25" customHeight="1">
      <c r="B837" s="59"/>
    </row>
    <row r="838" ht="14.25" customHeight="1">
      <c r="B838" s="59"/>
    </row>
    <row r="839" ht="14.25" customHeight="1">
      <c r="B839" s="59"/>
    </row>
    <row r="840" ht="14.25" customHeight="1">
      <c r="B840" s="59"/>
    </row>
    <row r="841" ht="14.25" customHeight="1">
      <c r="B841" s="59"/>
    </row>
    <row r="842" ht="14.25" customHeight="1">
      <c r="B842" s="59"/>
    </row>
    <row r="843" ht="14.25" customHeight="1">
      <c r="B843" s="59"/>
    </row>
    <row r="844" ht="14.25" customHeight="1">
      <c r="B844" s="59"/>
    </row>
    <row r="845" ht="14.25" customHeight="1">
      <c r="B845" s="59"/>
    </row>
    <row r="846" ht="14.25" customHeight="1">
      <c r="B846" s="59"/>
    </row>
    <row r="847" ht="14.25" customHeight="1">
      <c r="B847" s="59"/>
    </row>
    <row r="848" ht="14.25" customHeight="1">
      <c r="B848" s="59"/>
    </row>
    <row r="849" ht="14.25" customHeight="1">
      <c r="B849" s="59"/>
    </row>
    <row r="850" ht="14.25" customHeight="1">
      <c r="B850" s="59"/>
    </row>
    <row r="851" ht="14.25" customHeight="1">
      <c r="B851" s="59"/>
    </row>
    <row r="852" ht="14.25" customHeight="1">
      <c r="B852" s="59"/>
    </row>
    <row r="853" ht="14.25" customHeight="1">
      <c r="B853" s="59"/>
    </row>
    <row r="854" ht="14.25" customHeight="1">
      <c r="B854" s="59"/>
    </row>
    <row r="855" ht="14.25" customHeight="1">
      <c r="B855" s="59"/>
    </row>
    <row r="856" ht="14.25" customHeight="1">
      <c r="B856" s="59"/>
    </row>
    <row r="857" ht="14.25" customHeight="1">
      <c r="B857" s="59"/>
    </row>
    <row r="858" ht="14.25" customHeight="1">
      <c r="B858" s="59"/>
    </row>
    <row r="859" ht="14.25" customHeight="1">
      <c r="B859" s="59"/>
    </row>
    <row r="860" ht="14.25" customHeight="1">
      <c r="B860" s="59"/>
    </row>
    <row r="861" ht="14.25" customHeight="1">
      <c r="B861" s="59"/>
    </row>
    <row r="862" ht="14.25" customHeight="1">
      <c r="B862" s="59"/>
    </row>
    <row r="863" ht="14.25" customHeight="1">
      <c r="B863" s="59"/>
    </row>
    <row r="864" ht="14.25" customHeight="1">
      <c r="B864" s="59"/>
    </row>
    <row r="865" ht="14.25" customHeight="1">
      <c r="B865" s="59"/>
    </row>
    <row r="866" ht="14.25" customHeight="1">
      <c r="B866" s="59"/>
    </row>
    <row r="867" ht="14.25" customHeight="1">
      <c r="B867" s="59"/>
    </row>
    <row r="868" ht="14.25" customHeight="1">
      <c r="B868" s="59"/>
    </row>
    <row r="869" ht="14.25" customHeight="1">
      <c r="B869" s="59"/>
    </row>
    <row r="870" ht="14.25" customHeight="1">
      <c r="B870" s="59"/>
    </row>
    <row r="871" ht="14.25" customHeight="1">
      <c r="B871" s="59"/>
    </row>
    <row r="872" ht="14.25" customHeight="1">
      <c r="B872" s="59"/>
    </row>
    <row r="873" ht="14.25" customHeight="1">
      <c r="B873" s="59"/>
    </row>
    <row r="874" ht="14.25" customHeight="1">
      <c r="B874" s="59"/>
    </row>
    <row r="875" ht="14.25" customHeight="1">
      <c r="B875" s="59"/>
    </row>
    <row r="876" ht="14.25" customHeight="1">
      <c r="B876" s="59"/>
    </row>
    <row r="877" ht="14.25" customHeight="1">
      <c r="B877" s="59"/>
    </row>
    <row r="878" ht="14.25" customHeight="1">
      <c r="B878" s="59"/>
    </row>
    <row r="879" ht="14.25" customHeight="1">
      <c r="B879" s="59"/>
    </row>
    <row r="880" ht="14.25" customHeight="1">
      <c r="B880" s="59"/>
    </row>
    <row r="881" ht="14.25" customHeight="1">
      <c r="B881" s="59"/>
    </row>
    <row r="882" ht="14.25" customHeight="1">
      <c r="B882" s="59"/>
    </row>
    <row r="883" ht="14.25" customHeight="1">
      <c r="B883" s="59"/>
    </row>
    <row r="884" ht="14.25" customHeight="1">
      <c r="B884" s="59"/>
    </row>
    <row r="885" ht="14.25" customHeight="1">
      <c r="B885" s="59"/>
    </row>
    <row r="886" ht="14.25" customHeight="1">
      <c r="B886" s="59"/>
    </row>
    <row r="887" ht="14.25" customHeight="1">
      <c r="B887" s="59"/>
    </row>
    <row r="888" ht="14.25" customHeight="1">
      <c r="B888" s="59"/>
    </row>
    <row r="889" ht="14.25" customHeight="1">
      <c r="B889" s="59"/>
    </row>
    <row r="890" ht="14.25" customHeight="1">
      <c r="B890" s="59"/>
    </row>
    <row r="891" ht="14.25" customHeight="1">
      <c r="B891" s="59"/>
    </row>
    <row r="892" ht="14.25" customHeight="1">
      <c r="B892" s="59"/>
    </row>
    <row r="893" ht="14.25" customHeight="1">
      <c r="B893" s="59"/>
    </row>
    <row r="894" ht="14.25" customHeight="1">
      <c r="B894" s="59"/>
    </row>
    <row r="895" ht="14.25" customHeight="1">
      <c r="B895" s="59"/>
    </row>
    <row r="896" ht="14.25" customHeight="1">
      <c r="B896" s="59"/>
    </row>
    <row r="897" ht="14.25" customHeight="1">
      <c r="B897" s="59"/>
    </row>
    <row r="898" ht="14.25" customHeight="1">
      <c r="B898" s="59"/>
    </row>
    <row r="899" ht="14.25" customHeight="1">
      <c r="B899" s="59"/>
    </row>
    <row r="900" ht="14.25" customHeight="1">
      <c r="B900" s="59"/>
    </row>
    <row r="901" ht="14.25" customHeight="1">
      <c r="B901" s="59"/>
    </row>
    <row r="902" ht="14.25" customHeight="1">
      <c r="B902" s="59"/>
    </row>
    <row r="903" ht="14.25" customHeight="1">
      <c r="B903" s="59"/>
    </row>
    <row r="904" ht="14.25" customHeight="1">
      <c r="B904" s="59"/>
    </row>
    <row r="905" ht="14.25" customHeight="1">
      <c r="B905" s="59"/>
    </row>
    <row r="906" ht="14.25" customHeight="1">
      <c r="B906" s="59"/>
    </row>
    <row r="907" ht="14.25" customHeight="1">
      <c r="B907" s="59"/>
    </row>
    <row r="908" ht="14.25" customHeight="1">
      <c r="B908" s="59"/>
    </row>
    <row r="909" ht="14.25" customHeight="1">
      <c r="B909" s="59"/>
    </row>
    <row r="910" ht="14.25" customHeight="1">
      <c r="B910" s="59"/>
    </row>
    <row r="911" ht="14.25" customHeight="1">
      <c r="B911" s="59"/>
    </row>
    <row r="912" ht="14.25" customHeight="1">
      <c r="B912" s="59"/>
    </row>
    <row r="913" ht="14.25" customHeight="1">
      <c r="B913" s="59"/>
    </row>
    <row r="914" ht="14.25" customHeight="1">
      <c r="B914" s="59"/>
    </row>
    <row r="915" ht="14.25" customHeight="1">
      <c r="B915" s="59"/>
    </row>
    <row r="916" ht="14.25" customHeight="1">
      <c r="B916" s="59"/>
    </row>
    <row r="917" ht="14.25" customHeight="1">
      <c r="B917" s="59"/>
    </row>
    <row r="918" ht="14.25" customHeight="1">
      <c r="B918" s="59"/>
    </row>
    <row r="919" ht="14.25" customHeight="1">
      <c r="B919" s="59"/>
    </row>
    <row r="920" ht="14.25" customHeight="1">
      <c r="B920" s="59"/>
    </row>
    <row r="921" ht="14.25" customHeight="1">
      <c r="B921" s="59"/>
    </row>
    <row r="922" ht="14.25" customHeight="1">
      <c r="B922" s="59"/>
    </row>
    <row r="923" ht="14.25" customHeight="1">
      <c r="B923" s="59"/>
    </row>
    <row r="924" ht="14.25" customHeight="1">
      <c r="B924" s="59"/>
    </row>
    <row r="925" ht="14.25" customHeight="1">
      <c r="B925" s="59"/>
    </row>
    <row r="926" ht="14.25" customHeight="1">
      <c r="B926" s="59"/>
    </row>
    <row r="927" ht="14.25" customHeight="1">
      <c r="B927" s="59"/>
    </row>
    <row r="928" ht="14.25" customHeight="1">
      <c r="B928" s="59"/>
    </row>
    <row r="929" ht="14.25" customHeight="1">
      <c r="B929" s="59"/>
    </row>
    <row r="930" ht="14.25" customHeight="1">
      <c r="B930" s="59"/>
    </row>
    <row r="931" ht="14.25" customHeight="1">
      <c r="B931" s="59"/>
    </row>
    <row r="932" ht="14.25" customHeight="1">
      <c r="B932" s="59"/>
    </row>
    <row r="933" ht="14.25" customHeight="1">
      <c r="B933" s="59"/>
    </row>
    <row r="934" ht="14.25" customHeight="1">
      <c r="B934" s="59"/>
    </row>
    <row r="935" ht="14.25" customHeight="1">
      <c r="B935" s="59"/>
    </row>
    <row r="936" ht="14.25" customHeight="1">
      <c r="B936" s="59"/>
    </row>
    <row r="937" ht="14.25" customHeight="1">
      <c r="B937" s="59"/>
    </row>
    <row r="938" ht="14.25" customHeight="1">
      <c r="B938" s="59"/>
    </row>
    <row r="939" ht="14.25" customHeight="1">
      <c r="B939" s="59"/>
    </row>
    <row r="940" ht="14.25" customHeight="1">
      <c r="B940" s="59"/>
    </row>
    <row r="941" ht="14.25" customHeight="1">
      <c r="B941" s="59"/>
    </row>
    <row r="942" ht="14.25" customHeight="1">
      <c r="B942" s="59"/>
    </row>
    <row r="943" ht="14.25" customHeight="1">
      <c r="B943" s="59"/>
    </row>
    <row r="944" ht="14.25" customHeight="1">
      <c r="B944" s="59"/>
    </row>
    <row r="945" ht="14.25" customHeight="1">
      <c r="B945" s="59"/>
    </row>
    <row r="946" ht="14.25" customHeight="1">
      <c r="B946" s="59"/>
    </row>
    <row r="947" ht="14.25" customHeight="1">
      <c r="B947" s="59"/>
    </row>
    <row r="948" ht="14.25" customHeight="1">
      <c r="B948" s="59"/>
    </row>
    <row r="949" ht="14.25" customHeight="1">
      <c r="B949" s="59"/>
    </row>
    <row r="950" ht="14.25" customHeight="1">
      <c r="B950" s="59"/>
    </row>
    <row r="951" ht="14.25" customHeight="1">
      <c r="B951" s="59"/>
    </row>
    <row r="952" ht="14.25" customHeight="1">
      <c r="B952" s="59"/>
    </row>
    <row r="953" ht="14.25" customHeight="1">
      <c r="B953" s="59"/>
    </row>
    <row r="954" ht="14.25" customHeight="1">
      <c r="B954" s="59"/>
    </row>
    <row r="955" ht="14.25" customHeight="1">
      <c r="B955" s="59"/>
    </row>
    <row r="956" ht="14.25" customHeight="1">
      <c r="B956" s="59"/>
    </row>
    <row r="957" ht="14.25" customHeight="1">
      <c r="B957" s="59"/>
    </row>
    <row r="958" ht="14.25" customHeight="1">
      <c r="B958" s="59"/>
    </row>
    <row r="959" ht="14.25" customHeight="1">
      <c r="B959" s="59"/>
    </row>
    <row r="960" ht="14.25" customHeight="1">
      <c r="B960" s="59"/>
    </row>
    <row r="961" ht="14.25" customHeight="1">
      <c r="B961" s="59"/>
    </row>
    <row r="962" ht="14.25" customHeight="1">
      <c r="B962" s="59"/>
    </row>
    <row r="963" ht="14.25" customHeight="1">
      <c r="B963" s="59"/>
    </row>
    <row r="964" ht="14.25" customHeight="1">
      <c r="B964" s="59"/>
    </row>
    <row r="965" ht="14.25" customHeight="1">
      <c r="B965" s="59"/>
    </row>
    <row r="966" ht="14.25" customHeight="1">
      <c r="B966" s="59"/>
    </row>
    <row r="967" ht="14.25" customHeight="1">
      <c r="B967" s="59"/>
    </row>
    <row r="968" ht="14.25" customHeight="1">
      <c r="B968" s="59"/>
    </row>
    <row r="969" ht="14.25" customHeight="1">
      <c r="B969" s="59"/>
    </row>
    <row r="970" ht="14.25" customHeight="1">
      <c r="B970" s="59"/>
    </row>
    <row r="971" ht="14.25" customHeight="1">
      <c r="B971" s="59"/>
    </row>
    <row r="972" ht="14.25" customHeight="1">
      <c r="B972" s="59"/>
    </row>
    <row r="973" ht="14.25" customHeight="1">
      <c r="B973" s="59"/>
    </row>
    <row r="974" ht="14.25" customHeight="1">
      <c r="B974" s="59"/>
    </row>
    <row r="975" ht="14.25" customHeight="1">
      <c r="B975" s="59"/>
    </row>
    <row r="976" ht="14.25" customHeight="1">
      <c r="B976" s="59"/>
    </row>
    <row r="977" ht="14.25" customHeight="1">
      <c r="B977" s="59"/>
    </row>
    <row r="978" ht="14.25" customHeight="1">
      <c r="B978" s="59"/>
    </row>
    <row r="979" ht="14.25" customHeight="1">
      <c r="B979" s="59"/>
    </row>
    <row r="980" ht="14.25" customHeight="1">
      <c r="B980" s="59"/>
    </row>
    <row r="981" ht="14.25" customHeight="1">
      <c r="B981" s="59"/>
    </row>
    <row r="982" ht="14.25" customHeight="1">
      <c r="B982" s="59"/>
    </row>
    <row r="983" ht="14.25" customHeight="1">
      <c r="B983" s="59"/>
    </row>
    <row r="984" ht="14.25" customHeight="1">
      <c r="B984" s="59"/>
    </row>
    <row r="985" ht="14.25" customHeight="1">
      <c r="B985" s="59"/>
    </row>
    <row r="986" ht="14.25" customHeight="1">
      <c r="B986" s="59"/>
    </row>
    <row r="987" ht="14.25" customHeight="1">
      <c r="B987" s="59"/>
    </row>
    <row r="988" ht="14.25" customHeight="1">
      <c r="B988" s="59"/>
    </row>
    <row r="989" ht="14.25" customHeight="1">
      <c r="B989" s="59"/>
    </row>
    <row r="990" ht="14.25" customHeight="1">
      <c r="B990" s="59"/>
    </row>
    <row r="991" ht="14.25" customHeight="1">
      <c r="B991" s="59"/>
    </row>
    <row r="992" ht="14.25" customHeight="1">
      <c r="B992" s="59"/>
    </row>
    <row r="993" ht="14.25" customHeight="1">
      <c r="B993" s="59"/>
    </row>
    <row r="994" ht="14.25" customHeight="1">
      <c r="B994" s="59"/>
    </row>
    <row r="995" ht="14.25" customHeight="1">
      <c r="B995" s="59"/>
    </row>
    <row r="996" ht="14.25" customHeight="1">
      <c r="B996" s="59"/>
    </row>
    <row r="997" ht="14.25" customHeight="1">
      <c r="B997" s="59"/>
    </row>
    <row r="998" ht="14.25" customHeight="1">
      <c r="B998" s="59"/>
    </row>
    <row r="999" ht="14.25" customHeight="1">
      <c r="B999" s="59"/>
    </row>
    <row r="1000" ht="14.25" customHeight="1">
      <c r="B1000" s="59"/>
    </row>
  </sheetData>
  <mergeCells count="14">
    <mergeCell ref="B19:B20"/>
    <mergeCell ref="B21:B22"/>
    <mergeCell ref="D21:D22"/>
    <mergeCell ref="E21:E22"/>
    <mergeCell ref="B25:B26"/>
    <mergeCell ref="D25:D26"/>
    <mergeCell ref="E25:E26"/>
    <mergeCell ref="A1:G2"/>
    <mergeCell ref="B10:B11"/>
    <mergeCell ref="D10:D11"/>
    <mergeCell ref="E10:E11"/>
    <mergeCell ref="B14:B15"/>
    <mergeCell ref="D14:D15"/>
    <mergeCell ref="E14:E15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560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174"/>
      <c r="B4" s="98"/>
      <c r="C4" s="98" t="s">
        <v>561</v>
      </c>
      <c r="D4" s="124" t="s">
        <v>562</v>
      </c>
      <c r="E4" s="135" t="s">
        <v>512</v>
      </c>
      <c r="F4" s="176">
        <v>1.0</v>
      </c>
      <c r="G4" s="177">
        <v>2300.0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4"/>
      <c r="U4" s="24"/>
      <c r="V4" s="24"/>
      <c r="W4" s="24"/>
      <c r="X4" s="24"/>
      <c r="Y4" s="24"/>
      <c r="Z4" s="24"/>
    </row>
    <row r="5" ht="18.75" customHeight="1">
      <c r="A5" s="86">
        <v>1.0</v>
      </c>
      <c r="B5" s="228">
        <v>45756.0</v>
      </c>
      <c r="C5" s="86" t="s">
        <v>510</v>
      </c>
      <c r="D5" s="47"/>
      <c r="E5" s="47"/>
      <c r="F5" s="222">
        <v>1.0</v>
      </c>
      <c r="G5" s="223">
        <v>2000.0</v>
      </c>
    </row>
    <row r="6" ht="18.75" customHeight="1">
      <c r="A6" s="86">
        <v>2.0</v>
      </c>
      <c r="B6" s="228">
        <v>45757.0</v>
      </c>
      <c r="C6" s="86" t="s">
        <v>478</v>
      </c>
      <c r="D6" s="86" t="s">
        <v>59</v>
      </c>
      <c r="E6" s="86" t="s">
        <v>61</v>
      </c>
      <c r="F6" s="222">
        <v>1.0</v>
      </c>
      <c r="G6" s="223">
        <v>4950.0</v>
      </c>
    </row>
    <row r="7" ht="18.75" customHeight="1">
      <c r="A7" s="86">
        <v>3.0</v>
      </c>
      <c r="B7" s="228">
        <v>45761.0</v>
      </c>
      <c r="C7" s="86" t="s">
        <v>525</v>
      </c>
      <c r="D7" s="86" t="s">
        <v>64</v>
      </c>
      <c r="E7" s="86" t="s">
        <v>66</v>
      </c>
      <c r="F7" s="222">
        <v>1.0</v>
      </c>
      <c r="G7" s="223">
        <v>9500.0</v>
      </c>
    </row>
    <row r="8" ht="18.75" customHeight="1">
      <c r="A8" s="86">
        <v>4.0</v>
      </c>
      <c r="B8" s="228">
        <v>45763.0</v>
      </c>
      <c r="C8" s="86" t="s">
        <v>472</v>
      </c>
      <c r="D8" s="86" t="s">
        <v>128</v>
      </c>
      <c r="E8" s="86" t="s">
        <v>61</v>
      </c>
      <c r="F8" s="222">
        <v>1.0</v>
      </c>
      <c r="G8" s="223">
        <v>1800.0</v>
      </c>
    </row>
    <row r="9" ht="18.75" customHeight="1">
      <c r="A9" s="86">
        <v>5.0</v>
      </c>
      <c r="B9" s="228">
        <v>45765.0</v>
      </c>
      <c r="C9" s="86" t="s">
        <v>434</v>
      </c>
      <c r="D9" s="86" t="s">
        <v>223</v>
      </c>
      <c r="E9" s="86" t="s">
        <v>134</v>
      </c>
      <c r="F9" s="222">
        <v>1.0</v>
      </c>
      <c r="G9" s="223">
        <v>16000.0</v>
      </c>
    </row>
    <row r="10" ht="18.75" customHeight="1">
      <c r="A10" s="86">
        <v>6.0</v>
      </c>
      <c r="B10" s="228">
        <v>45770.0</v>
      </c>
      <c r="C10" s="86" t="s">
        <v>522</v>
      </c>
      <c r="D10" s="86" t="s">
        <v>182</v>
      </c>
      <c r="E10" s="86" t="s">
        <v>61</v>
      </c>
      <c r="F10" s="222">
        <v>1.0</v>
      </c>
      <c r="G10" s="223">
        <v>4200.0</v>
      </c>
    </row>
    <row r="11" ht="18.75" customHeight="1">
      <c r="A11" s="86">
        <v>7.0</v>
      </c>
      <c r="B11" s="228">
        <v>45771.0</v>
      </c>
      <c r="C11" s="86" t="s">
        <v>472</v>
      </c>
      <c r="D11" s="86" t="s">
        <v>564</v>
      </c>
      <c r="E11" s="86" t="s">
        <v>23</v>
      </c>
      <c r="F11" s="222">
        <v>1.0</v>
      </c>
      <c r="G11" s="223">
        <v>1800.0</v>
      </c>
    </row>
    <row r="12" ht="18.75" customHeight="1">
      <c r="A12" s="86">
        <v>8.0</v>
      </c>
      <c r="B12" s="228">
        <v>45772.0</v>
      </c>
      <c r="C12" s="86" t="s">
        <v>565</v>
      </c>
      <c r="D12" s="86" t="s">
        <v>39</v>
      </c>
      <c r="E12" s="86" t="s">
        <v>473</v>
      </c>
      <c r="F12" s="222">
        <v>1.0</v>
      </c>
      <c r="G12" s="223">
        <v>6500.0</v>
      </c>
    </row>
    <row r="13" ht="18.75" customHeight="1">
      <c r="A13" s="86">
        <v>9.0</v>
      </c>
      <c r="B13" s="228">
        <v>45773.0</v>
      </c>
      <c r="C13" s="86" t="s">
        <v>472</v>
      </c>
      <c r="D13" s="86" t="s">
        <v>566</v>
      </c>
      <c r="E13" s="86" t="s">
        <v>512</v>
      </c>
      <c r="F13" s="222">
        <v>1.0</v>
      </c>
      <c r="G13" s="223">
        <v>1800.0</v>
      </c>
    </row>
    <row r="14" ht="18.75" customHeight="1">
      <c r="A14" s="86">
        <v>10.0</v>
      </c>
      <c r="B14" s="228">
        <v>45772.0</v>
      </c>
      <c r="C14" s="86" t="s">
        <v>472</v>
      </c>
      <c r="D14" s="86" t="s">
        <v>567</v>
      </c>
      <c r="E14" s="86" t="s">
        <v>473</v>
      </c>
      <c r="F14" s="222">
        <v>1.0</v>
      </c>
      <c r="G14" s="223">
        <v>1800.0</v>
      </c>
    </row>
    <row r="15" ht="18.75" customHeight="1">
      <c r="A15" s="86">
        <v>11.0</v>
      </c>
      <c r="B15" s="228">
        <v>45775.0</v>
      </c>
      <c r="C15" s="86" t="s">
        <v>472</v>
      </c>
      <c r="D15" s="86" t="s">
        <v>72</v>
      </c>
      <c r="E15" s="86" t="s">
        <v>512</v>
      </c>
      <c r="F15" s="222">
        <v>1.0</v>
      </c>
      <c r="G15" s="223">
        <v>1620.0</v>
      </c>
    </row>
    <row r="16" ht="18.75" customHeight="1">
      <c r="A16" s="86">
        <v>12.0</v>
      </c>
      <c r="B16" s="228">
        <v>45782.0</v>
      </c>
      <c r="C16" s="86" t="s">
        <v>391</v>
      </c>
      <c r="D16" s="86" t="s">
        <v>346</v>
      </c>
      <c r="E16" s="86" t="s">
        <v>93</v>
      </c>
      <c r="F16" s="222">
        <v>1.0</v>
      </c>
      <c r="G16" s="223">
        <v>3780.0</v>
      </c>
      <c r="H16" s="227">
        <f>4200-420</f>
        <v>3780</v>
      </c>
    </row>
    <row r="17" ht="18.75" customHeight="1">
      <c r="A17" s="86">
        <v>13.0</v>
      </c>
      <c r="B17" s="228">
        <v>45784.0</v>
      </c>
      <c r="C17" s="86" t="s">
        <v>478</v>
      </c>
      <c r="D17" s="86" t="s">
        <v>180</v>
      </c>
      <c r="E17" s="86" t="s">
        <v>574</v>
      </c>
      <c r="F17" s="222">
        <v>1.0</v>
      </c>
      <c r="G17" s="223">
        <v>5500.0</v>
      </c>
    </row>
    <row r="18" ht="18.75" customHeight="1">
      <c r="A18" s="86">
        <v>14.0</v>
      </c>
      <c r="B18" s="228">
        <v>45784.0</v>
      </c>
      <c r="C18" s="86" t="s">
        <v>472</v>
      </c>
      <c r="D18" s="86" t="s">
        <v>578</v>
      </c>
      <c r="E18" s="86" t="s">
        <v>86</v>
      </c>
      <c r="F18" s="222">
        <v>1.0</v>
      </c>
      <c r="G18" s="223">
        <v>1800.0</v>
      </c>
    </row>
    <row r="19" ht="18.75" customHeight="1">
      <c r="A19" s="86">
        <v>15.0</v>
      </c>
      <c r="B19" s="228">
        <v>45785.0</v>
      </c>
      <c r="C19" s="86" t="s">
        <v>391</v>
      </c>
      <c r="D19" s="86" t="s">
        <v>581</v>
      </c>
      <c r="E19" s="86" t="s">
        <v>311</v>
      </c>
      <c r="F19" s="222">
        <v>1.0</v>
      </c>
      <c r="G19" s="223">
        <v>5700.0</v>
      </c>
    </row>
    <row r="20" ht="18.75" customHeight="1">
      <c r="A20" s="86">
        <v>16.0</v>
      </c>
      <c r="B20" s="228"/>
      <c r="C20" s="86"/>
      <c r="D20" s="86"/>
      <c r="E20" s="86"/>
      <c r="F20" s="222"/>
      <c r="G20" s="223"/>
    </row>
    <row r="21" ht="18.75" customHeight="1">
      <c r="A21" s="86">
        <v>17.0</v>
      </c>
      <c r="B21" s="228"/>
      <c r="C21" s="86"/>
      <c r="D21" s="86"/>
      <c r="E21" s="86"/>
      <c r="F21" s="222"/>
      <c r="G21" s="223"/>
    </row>
    <row r="22" ht="18.75" customHeight="1">
      <c r="A22" s="86">
        <v>18.0</v>
      </c>
      <c r="B22" s="228"/>
      <c r="C22" s="86"/>
      <c r="D22" s="86"/>
      <c r="E22" s="86"/>
      <c r="F22" s="222"/>
      <c r="G22" s="223"/>
    </row>
    <row r="23" ht="18.75" customHeight="1">
      <c r="A23" s="86">
        <v>19.0</v>
      </c>
      <c r="B23" s="228"/>
      <c r="C23" s="86"/>
      <c r="D23" s="86"/>
      <c r="E23" s="86"/>
      <c r="F23" s="222"/>
      <c r="G23" s="223"/>
    </row>
    <row r="24" ht="18.75" customHeight="1">
      <c r="A24" s="86">
        <v>20.0</v>
      </c>
      <c r="B24" s="228"/>
      <c r="C24" s="86"/>
      <c r="D24" s="86"/>
      <c r="E24" s="86"/>
      <c r="F24" s="222"/>
      <c r="G24" s="223"/>
    </row>
    <row r="25" ht="18.75" customHeight="1">
      <c r="A25" s="86">
        <v>21.0</v>
      </c>
      <c r="B25" s="228"/>
      <c r="C25" s="86"/>
      <c r="D25" s="86"/>
      <c r="E25" s="86"/>
      <c r="F25" s="222"/>
      <c r="G25" s="223"/>
    </row>
    <row r="26" ht="18.75" customHeight="1">
      <c r="A26" s="86">
        <v>22.0</v>
      </c>
      <c r="B26" s="228"/>
      <c r="C26" s="86"/>
      <c r="D26" s="86"/>
      <c r="E26" s="86"/>
      <c r="F26" s="222"/>
      <c r="G26" s="223"/>
    </row>
    <row r="27" ht="18.75" customHeight="1">
      <c r="A27" s="86">
        <v>23.0</v>
      </c>
      <c r="B27" s="228"/>
      <c r="C27" s="86"/>
      <c r="D27" s="86"/>
      <c r="E27" s="86"/>
      <c r="F27" s="222"/>
      <c r="G27" s="223"/>
    </row>
    <row r="28" ht="18.75" customHeight="1">
      <c r="A28" s="86">
        <v>24.0</v>
      </c>
      <c r="B28" s="228"/>
      <c r="C28" s="86"/>
      <c r="D28" s="86"/>
      <c r="E28" s="86"/>
      <c r="F28" s="222"/>
      <c r="G28" s="223"/>
    </row>
    <row r="29" ht="18.75" customHeight="1">
      <c r="A29" s="86">
        <v>25.0</v>
      </c>
      <c r="B29" s="228"/>
      <c r="C29" s="86"/>
      <c r="D29" s="86"/>
      <c r="E29" s="86"/>
      <c r="F29" s="222"/>
      <c r="G29" s="223"/>
    </row>
    <row r="30" ht="18.75" customHeight="1">
      <c r="A30" s="150"/>
      <c r="B30" s="205"/>
      <c r="C30" s="87"/>
      <c r="D30" s="74"/>
      <c r="E30" s="74"/>
      <c r="F30" s="75"/>
      <c r="G30" s="211"/>
    </row>
    <row r="31" ht="18.75" customHeight="1">
      <c r="A31" s="150"/>
      <c r="B31" s="205"/>
      <c r="C31" s="87"/>
      <c r="D31" s="74"/>
      <c r="E31" s="74"/>
      <c r="F31" s="75"/>
      <c r="G31" s="212">
        <f>SUM(G5:G29)</f>
        <v>68750</v>
      </c>
    </row>
    <row r="32" ht="18.75" customHeight="1">
      <c r="A32" s="150"/>
      <c r="B32" s="205"/>
      <c r="C32" s="87"/>
      <c r="D32" s="74"/>
      <c r="E32" s="74"/>
      <c r="F32" s="75"/>
      <c r="G32" s="20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5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73"/>
      <c r="C224" s="87"/>
      <c r="D224" s="74"/>
      <c r="E224" s="74"/>
      <c r="F224" s="72"/>
      <c r="G224" s="76"/>
    </row>
    <row r="225" ht="18.75" customHeight="1">
      <c r="A225" s="72"/>
      <c r="B225" s="59"/>
      <c r="C225" s="87"/>
      <c r="D225" s="74"/>
      <c r="E225" s="74"/>
      <c r="F225" s="72"/>
      <c r="G225" s="76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5.75" customHeight="1">
      <c r="B231" s="59"/>
    </row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2"/>
    <mergeCell ref="D4:D5"/>
    <mergeCell ref="E4:E5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563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>
        <v>1.0</v>
      </c>
      <c r="B4" s="228">
        <v>45787.0</v>
      </c>
      <c r="C4" s="86" t="s">
        <v>475</v>
      </c>
      <c r="D4" s="86" t="s">
        <v>208</v>
      </c>
      <c r="E4" s="86" t="s">
        <v>512</v>
      </c>
      <c r="F4" s="222">
        <v>1.0</v>
      </c>
      <c r="G4" s="223">
        <v>7200.0</v>
      </c>
    </row>
    <row r="5" ht="18.75" customHeight="1">
      <c r="A5" s="86">
        <v>2.0</v>
      </c>
      <c r="B5" s="228">
        <v>45793.0</v>
      </c>
      <c r="C5" s="86" t="s">
        <v>391</v>
      </c>
      <c r="D5" s="86" t="s">
        <v>299</v>
      </c>
      <c r="E5" s="86" t="s">
        <v>61</v>
      </c>
      <c r="F5" s="222">
        <v>1.0</v>
      </c>
      <c r="G5" s="223">
        <v>4200.0</v>
      </c>
    </row>
    <row r="6" ht="18.75" customHeight="1">
      <c r="A6" s="86"/>
      <c r="B6" s="228">
        <v>45795.0</v>
      </c>
      <c r="C6" s="86" t="s">
        <v>478</v>
      </c>
      <c r="D6" s="86" t="s">
        <v>208</v>
      </c>
      <c r="E6" s="86" t="s">
        <v>512</v>
      </c>
      <c r="F6" s="222">
        <v>1.0</v>
      </c>
      <c r="G6" s="223">
        <v>4950.0</v>
      </c>
    </row>
    <row r="7" ht="18.75" customHeight="1">
      <c r="A7" s="86"/>
      <c r="B7" s="228">
        <v>45800.0</v>
      </c>
      <c r="C7" s="86" t="s">
        <v>478</v>
      </c>
      <c r="D7" s="86" t="s">
        <v>69</v>
      </c>
      <c r="E7" s="86" t="s">
        <v>66</v>
      </c>
      <c r="F7" s="222">
        <v>1.0</v>
      </c>
      <c r="G7" s="223">
        <f>5500*(1-15%)</f>
        <v>4675</v>
      </c>
    </row>
    <row r="8" ht="18.75" customHeight="1">
      <c r="A8" s="86"/>
      <c r="B8" s="228">
        <v>45800.0</v>
      </c>
      <c r="C8" s="86" t="s">
        <v>472</v>
      </c>
      <c r="D8" s="86" t="s">
        <v>342</v>
      </c>
      <c r="E8" s="86" t="s">
        <v>512</v>
      </c>
      <c r="F8" s="222">
        <v>1.0</v>
      </c>
      <c r="G8" s="223">
        <v>1800.0</v>
      </c>
    </row>
    <row r="9" ht="18.75" customHeight="1">
      <c r="A9" s="86"/>
      <c r="B9" s="228">
        <v>45802.0</v>
      </c>
      <c r="C9" s="86" t="s">
        <v>568</v>
      </c>
      <c r="D9" s="86" t="s">
        <v>569</v>
      </c>
      <c r="E9" s="86" t="s">
        <v>57</v>
      </c>
      <c r="F9" s="222">
        <v>1.0</v>
      </c>
      <c r="G9" s="223">
        <v>2000.0</v>
      </c>
    </row>
    <row r="10" ht="18.75" customHeight="1">
      <c r="A10" s="86"/>
      <c r="B10" s="228">
        <v>45802.0</v>
      </c>
      <c r="C10" s="86" t="s">
        <v>568</v>
      </c>
      <c r="D10" s="86" t="s">
        <v>208</v>
      </c>
      <c r="E10" s="86" t="s">
        <v>78</v>
      </c>
      <c r="F10" s="222">
        <v>1.0</v>
      </c>
      <c r="G10" s="223">
        <v>2000.0</v>
      </c>
    </row>
    <row r="11" ht="18.75" customHeight="1">
      <c r="A11" s="86"/>
      <c r="B11" s="228">
        <v>45806.0</v>
      </c>
      <c r="C11" s="86" t="s">
        <v>363</v>
      </c>
      <c r="D11" s="86" t="s">
        <v>570</v>
      </c>
      <c r="E11" s="86" t="s">
        <v>571</v>
      </c>
      <c r="F11" s="222">
        <v>1.0</v>
      </c>
      <c r="G11" s="223">
        <f>6500*(1-10%)</f>
        <v>5850</v>
      </c>
    </row>
    <row r="12" ht="18.75" customHeight="1">
      <c r="A12" s="86"/>
      <c r="B12" s="228">
        <v>45809.0</v>
      </c>
      <c r="C12" s="86" t="s">
        <v>391</v>
      </c>
      <c r="D12" s="86" t="s">
        <v>190</v>
      </c>
      <c r="E12" s="86" t="s">
        <v>61</v>
      </c>
      <c r="F12" s="222">
        <v>1.0</v>
      </c>
      <c r="G12" s="223">
        <v>4200.0</v>
      </c>
    </row>
    <row r="13" ht="18.75" customHeight="1">
      <c r="A13" s="86"/>
      <c r="B13" s="228">
        <v>45811.0</v>
      </c>
      <c r="C13" s="86" t="s">
        <v>363</v>
      </c>
      <c r="D13" s="86" t="s">
        <v>573</v>
      </c>
      <c r="E13" s="86" t="s">
        <v>57</v>
      </c>
      <c r="F13" s="222">
        <v>1.0</v>
      </c>
      <c r="G13" s="223">
        <v>6500.0</v>
      </c>
    </row>
    <row r="14" ht="18.75" customHeight="1">
      <c r="A14" s="86"/>
      <c r="B14" s="228">
        <v>45815.0</v>
      </c>
      <c r="C14" s="86" t="s">
        <v>575</v>
      </c>
      <c r="D14" s="86" t="s">
        <v>576</v>
      </c>
      <c r="E14" s="86" t="s">
        <v>577</v>
      </c>
      <c r="F14" s="222">
        <v>1.0</v>
      </c>
      <c r="G14" s="223">
        <v>2500.0</v>
      </c>
    </row>
    <row r="15" ht="18.75" customHeight="1">
      <c r="A15" s="86"/>
      <c r="B15" s="228">
        <v>45816.0</v>
      </c>
      <c r="C15" s="86" t="s">
        <v>472</v>
      </c>
      <c r="D15" s="86" t="s">
        <v>579</v>
      </c>
      <c r="E15" s="86" t="s">
        <v>512</v>
      </c>
      <c r="F15" s="222">
        <v>1.0</v>
      </c>
      <c r="G15" s="223">
        <v>1800.0</v>
      </c>
    </row>
    <row r="16" ht="18.75" customHeight="1">
      <c r="A16" s="86"/>
      <c r="B16" s="228"/>
      <c r="C16" s="86"/>
      <c r="D16" s="86"/>
      <c r="E16" s="86"/>
      <c r="F16" s="222"/>
      <c r="G16" s="223"/>
    </row>
    <row r="17" ht="18.75" customHeight="1">
      <c r="A17" s="86"/>
      <c r="B17" s="228"/>
      <c r="C17" s="86"/>
      <c r="D17" s="86"/>
      <c r="E17" s="86"/>
      <c r="F17" s="222"/>
      <c r="G17" s="223"/>
    </row>
    <row r="18" ht="18.75" customHeight="1">
      <c r="A18" s="86"/>
      <c r="B18" s="228"/>
      <c r="C18" s="86"/>
      <c r="D18" s="86"/>
      <c r="E18" s="86"/>
      <c r="F18" s="222"/>
      <c r="G18" s="223"/>
    </row>
    <row r="19" ht="18.75" customHeight="1">
      <c r="A19" s="86"/>
      <c r="B19" s="228"/>
      <c r="C19" s="86"/>
      <c r="D19" s="86"/>
      <c r="E19" s="86"/>
      <c r="F19" s="222"/>
      <c r="G19" s="223"/>
    </row>
    <row r="20" ht="18.75" customHeight="1">
      <c r="A20" s="86"/>
      <c r="B20" s="228"/>
      <c r="C20" s="86"/>
      <c r="D20" s="86"/>
      <c r="E20" s="86"/>
      <c r="F20" s="222"/>
      <c r="G20" s="223"/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47675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572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/>
      <c r="B4" s="228">
        <v>45819.0</v>
      </c>
      <c r="C4" s="86" t="s">
        <v>472</v>
      </c>
      <c r="D4" s="86" t="s">
        <v>580</v>
      </c>
      <c r="E4" s="86" t="s">
        <v>512</v>
      </c>
      <c r="F4" s="222">
        <v>1.0</v>
      </c>
      <c r="G4" s="223">
        <v>1800.0</v>
      </c>
    </row>
    <row r="5" ht="18.75" customHeight="1">
      <c r="A5" s="86"/>
      <c r="B5" s="228">
        <v>45820.0</v>
      </c>
      <c r="C5" s="86" t="s">
        <v>472</v>
      </c>
      <c r="D5" s="86" t="s">
        <v>299</v>
      </c>
      <c r="E5" s="86" t="s">
        <v>473</v>
      </c>
      <c r="F5" s="222">
        <v>1.0</v>
      </c>
      <c r="G5" s="223">
        <v>1800.0</v>
      </c>
    </row>
    <row r="6" ht="18.75" customHeight="1">
      <c r="A6" s="86"/>
      <c r="B6" s="228">
        <v>45820.0</v>
      </c>
      <c r="C6" s="86" t="s">
        <v>478</v>
      </c>
      <c r="D6" s="86" t="s">
        <v>105</v>
      </c>
      <c r="E6" s="86" t="s">
        <v>93</v>
      </c>
      <c r="F6" s="222">
        <v>1.0</v>
      </c>
      <c r="G6" s="223">
        <v>5500.0</v>
      </c>
    </row>
    <row r="7" ht="18.75" customHeight="1">
      <c r="A7" s="86"/>
      <c r="B7" s="228">
        <v>45822.0</v>
      </c>
      <c r="C7" s="86" t="s">
        <v>472</v>
      </c>
      <c r="D7" s="86" t="s">
        <v>580</v>
      </c>
      <c r="E7" s="86" t="s">
        <v>512</v>
      </c>
      <c r="F7" s="222">
        <v>1.0</v>
      </c>
      <c r="G7" s="223">
        <v>1800.0</v>
      </c>
    </row>
    <row r="8" ht="18.75" customHeight="1">
      <c r="A8" s="86"/>
      <c r="B8" s="228">
        <v>45822.0</v>
      </c>
      <c r="C8" s="86" t="s">
        <v>472</v>
      </c>
      <c r="D8" s="86" t="s">
        <v>507</v>
      </c>
      <c r="E8" s="86" t="s">
        <v>473</v>
      </c>
      <c r="F8" s="222">
        <v>1.0</v>
      </c>
      <c r="G8" s="223">
        <v>1800.0</v>
      </c>
    </row>
    <row r="9" ht="18.75" customHeight="1">
      <c r="A9" s="86"/>
      <c r="B9" s="228">
        <v>45823.0</v>
      </c>
      <c r="C9" s="86" t="s">
        <v>389</v>
      </c>
      <c r="D9" s="86" t="s">
        <v>180</v>
      </c>
      <c r="E9" s="86" t="s">
        <v>582</v>
      </c>
      <c r="F9" s="222">
        <v>1.0</v>
      </c>
      <c r="G9" s="223">
        <v>6000.0</v>
      </c>
    </row>
    <row r="10" ht="18.75" customHeight="1">
      <c r="A10" s="86"/>
      <c r="B10" s="228">
        <v>45826.0</v>
      </c>
      <c r="C10" s="86" t="s">
        <v>472</v>
      </c>
      <c r="D10" s="86" t="s">
        <v>439</v>
      </c>
      <c r="E10" s="86" t="s">
        <v>473</v>
      </c>
      <c r="F10" s="222">
        <v>1.0</v>
      </c>
      <c r="G10" s="223">
        <v>1800.0</v>
      </c>
    </row>
    <row r="11" ht="18.75" customHeight="1">
      <c r="A11" s="86"/>
      <c r="B11" s="229">
        <v>45829.0</v>
      </c>
      <c r="C11" s="86" t="s">
        <v>472</v>
      </c>
      <c r="D11" s="135" t="s">
        <v>146</v>
      </c>
      <c r="E11" s="135" t="s">
        <v>349</v>
      </c>
      <c r="F11" s="222">
        <v>1.0</v>
      </c>
      <c r="G11" s="223">
        <f>1800*(1-10%)</f>
        <v>1620</v>
      </c>
    </row>
    <row r="12" ht="18.75" customHeight="1">
      <c r="A12" s="86"/>
      <c r="B12" s="47"/>
      <c r="C12" s="86" t="s">
        <v>478</v>
      </c>
      <c r="D12" s="47"/>
      <c r="E12" s="47"/>
      <c r="F12" s="222">
        <v>1.0</v>
      </c>
      <c r="G12" s="223">
        <v>4950.0</v>
      </c>
    </row>
    <row r="13" ht="18.75" customHeight="1">
      <c r="A13" s="86"/>
      <c r="B13" s="228">
        <v>45831.0</v>
      </c>
      <c r="C13" s="86" t="s">
        <v>478</v>
      </c>
      <c r="D13" s="86" t="s">
        <v>370</v>
      </c>
      <c r="E13" s="86" t="s">
        <v>78</v>
      </c>
      <c r="F13" s="222">
        <v>1.0</v>
      </c>
      <c r="G13" s="223">
        <v>4950.0</v>
      </c>
    </row>
    <row r="14" ht="18.75" customHeight="1">
      <c r="A14" s="86"/>
      <c r="B14" s="228">
        <v>45832.0</v>
      </c>
      <c r="C14" s="86" t="s">
        <v>309</v>
      </c>
      <c r="D14" s="86" t="s">
        <v>583</v>
      </c>
      <c r="E14" s="86" t="s">
        <v>201</v>
      </c>
      <c r="F14" s="222">
        <v>1.0</v>
      </c>
      <c r="G14" s="223">
        <v>1800.0</v>
      </c>
    </row>
    <row r="15" ht="18.75" customHeight="1">
      <c r="A15" s="86"/>
      <c r="B15" s="228"/>
      <c r="C15" s="86"/>
      <c r="D15" s="86"/>
      <c r="E15" s="86"/>
      <c r="F15" s="222"/>
      <c r="G15" s="223"/>
    </row>
    <row r="16" ht="18.75" customHeight="1">
      <c r="A16" s="86"/>
      <c r="B16" s="228"/>
      <c r="C16" s="86"/>
      <c r="D16" s="86"/>
      <c r="E16" s="86"/>
      <c r="F16" s="222"/>
      <c r="G16" s="223"/>
    </row>
    <row r="17" ht="18.75" customHeight="1">
      <c r="A17" s="86"/>
      <c r="B17" s="228"/>
      <c r="C17" s="86"/>
      <c r="D17" s="86"/>
      <c r="E17" s="86"/>
      <c r="F17" s="222"/>
      <c r="G17" s="223"/>
    </row>
    <row r="18" ht="18.75" customHeight="1">
      <c r="A18" s="86"/>
      <c r="B18" s="228"/>
      <c r="C18" s="86"/>
      <c r="D18" s="86"/>
      <c r="E18" s="86"/>
      <c r="F18" s="222"/>
      <c r="G18" s="223"/>
    </row>
    <row r="19" ht="18.75" customHeight="1">
      <c r="A19" s="86"/>
      <c r="B19" s="228"/>
      <c r="C19" s="86"/>
      <c r="D19" s="86"/>
      <c r="E19" s="86"/>
      <c r="F19" s="222"/>
      <c r="G19" s="223"/>
    </row>
    <row r="20" ht="18.75" customHeight="1">
      <c r="A20" s="86"/>
      <c r="B20" s="228"/>
      <c r="C20" s="86"/>
      <c r="D20" s="86"/>
      <c r="E20" s="86"/>
      <c r="F20" s="222"/>
      <c r="G20" s="223"/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33820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G2"/>
    <mergeCell ref="B11:B12"/>
    <mergeCell ref="D11:D12"/>
    <mergeCell ref="E11:E1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584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/>
      <c r="B4" s="228">
        <v>45851.0</v>
      </c>
      <c r="C4" s="86" t="s">
        <v>472</v>
      </c>
      <c r="D4" s="86" t="s">
        <v>117</v>
      </c>
      <c r="E4" s="86" t="s">
        <v>93</v>
      </c>
      <c r="F4" s="222">
        <v>1.0</v>
      </c>
      <c r="G4" s="223">
        <v>1800.0</v>
      </c>
    </row>
    <row r="5" ht="18.75" customHeight="1">
      <c r="A5" s="86"/>
      <c r="B5" s="228">
        <v>45852.0</v>
      </c>
      <c r="C5" s="86" t="s">
        <v>585</v>
      </c>
      <c r="D5" s="86" t="s">
        <v>586</v>
      </c>
      <c r="E5" s="86" t="s">
        <v>587</v>
      </c>
      <c r="F5" s="222">
        <v>1.0</v>
      </c>
      <c r="G5" s="223">
        <v>4800.0</v>
      </c>
    </row>
    <row r="6" ht="18.75" customHeight="1">
      <c r="A6" s="86"/>
      <c r="B6" s="228">
        <v>45855.0</v>
      </c>
      <c r="C6" s="86" t="s">
        <v>472</v>
      </c>
      <c r="D6" s="86" t="s">
        <v>588</v>
      </c>
      <c r="E6" s="86" t="s">
        <v>201</v>
      </c>
      <c r="F6" s="222">
        <v>1.0</v>
      </c>
      <c r="G6" s="223">
        <v>1800.0</v>
      </c>
    </row>
    <row r="7" ht="18.75" customHeight="1">
      <c r="A7" s="86"/>
      <c r="B7" s="228">
        <v>45855.0</v>
      </c>
      <c r="C7" s="86" t="s">
        <v>463</v>
      </c>
      <c r="D7" s="86" t="s">
        <v>357</v>
      </c>
      <c r="E7" s="86" t="s">
        <v>221</v>
      </c>
      <c r="F7" s="222">
        <v>1.0</v>
      </c>
      <c r="G7" s="223">
        <v>7900.0</v>
      </c>
    </row>
    <row r="8" ht="18.75" customHeight="1">
      <c r="A8" s="86"/>
      <c r="B8" s="228">
        <v>45857.0</v>
      </c>
      <c r="C8" s="86" t="s">
        <v>409</v>
      </c>
      <c r="D8" s="86" t="s">
        <v>589</v>
      </c>
      <c r="E8" s="86" t="s">
        <v>269</v>
      </c>
      <c r="F8" s="222">
        <v>1.0</v>
      </c>
      <c r="G8" s="223">
        <v>6200.0</v>
      </c>
    </row>
    <row r="9" ht="18.75" customHeight="1">
      <c r="A9" s="86"/>
      <c r="B9" s="228">
        <v>45861.0</v>
      </c>
      <c r="C9" s="86" t="s">
        <v>590</v>
      </c>
      <c r="D9" s="86" t="s">
        <v>267</v>
      </c>
      <c r="E9" s="86" t="s">
        <v>250</v>
      </c>
      <c r="F9" s="222">
        <v>1.0</v>
      </c>
      <c r="G9" s="223">
        <f>4200*(1-10%)</f>
        <v>3780</v>
      </c>
    </row>
    <row r="10" ht="18.75" customHeight="1">
      <c r="A10" s="86"/>
      <c r="B10" s="228">
        <v>45863.0</v>
      </c>
      <c r="C10" s="86" t="s">
        <v>591</v>
      </c>
      <c r="D10" s="86" t="s">
        <v>58</v>
      </c>
      <c r="E10" s="86" t="s">
        <v>156</v>
      </c>
      <c r="F10" s="222">
        <v>1.0</v>
      </c>
      <c r="G10" s="223">
        <v>2500.0</v>
      </c>
    </row>
    <row r="11" ht="18.75" customHeight="1">
      <c r="A11" s="86"/>
      <c r="B11" s="228">
        <v>45864.0</v>
      </c>
      <c r="C11" s="86" t="s">
        <v>472</v>
      </c>
      <c r="D11" s="86" t="s">
        <v>323</v>
      </c>
      <c r="E11" s="86" t="s">
        <v>93</v>
      </c>
      <c r="F11" s="222">
        <v>1.0</v>
      </c>
      <c r="G11" s="223">
        <v>1800.0</v>
      </c>
    </row>
    <row r="12" ht="18.75" customHeight="1">
      <c r="A12" s="86"/>
      <c r="B12" s="228">
        <v>45865.0</v>
      </c>
      <c r="C12" s="86" t="s">
        <v>478</v>
      </c>
      <c r="D12" s="86" t="s">
        <v>271</v>
      </c>
      <c r="E12" s="86" t="s">
        <v>577</v>
      </c>
      <c r="F12" s="222">
        <v>1.0</v>
      </c>
      <c r="G12" s="223">
        <v>5500.0</v>
      </c>
    </row>
    <row r="13" ht="18.75" customHeight="1">
      <c r="A13" s="86"/>
      <c r="B13" s="228">
        <v>45866.0</v>
      </c>
      <c r="C13" s="86" t="s">
        <v>389</v>
      </c>
      <c r="D13" s="86" t="s">
        <v>182</v>
      </c>
      <c r="E13" s="86" t="s">
        <v>254</v>
      </c>
      <c r="F13" s="222">
        <v>1.0</v>
      </c>
      <c r="G13" s="223">
        <v>5400.0</v>
      </c>
    </row>
    <row r="14" ht="18.75" customHeight="1">
      <c r="A14" s="86"/>
      <c r="B14" s="229">
        <v>45867.0</v>
      </c>
      <c r="C14" s="86" t="s">
        <v>590</v>
      </c>
      <c r="D14" s="135" t="s">
        <v>592</v>
      </c>
      <c r="E14" s="135" t="s">
        <v>31</v>
      </c>
      <c r="F14" s="222">
        <v>1.0</v>
      </c>
      <c r="G14" s="223">
        <v>3780.0</v>
      </c>
    </row>
    <row r="15" ht="18.75" customHeight="1">
      <c r="A15" s="86"/>
      <c r="B15" s="47"/>
      <c r="C15" s="86" t="s">
        <v>539</v>
      </c>
      <c r="D15" s="47"/>
      <c r="E15" s="47"/>
      <c r="F15" s="222">
        <v>1.0</v>
      </c>
      <c r="G15" s="223">
        <v>2000.0</v>
      </c>
    </row>
    <row r="16" ht="18.75" customHeight="1">
      <c r="A16" s="86"/>
      <c r="B16" s="228">
        <v>45868.0</v>
      </c>
      <c r="C16" s="86" t="s">
        <v>593</v>
      </c>
      <c r="D16" s="86" t="s">
        <v>77</v>
      </c>
      <c r="E16" s="86" t="s">
        <v>554</v>
      </c>
      <c r="F16" s="222">
        <v>1.0</v>
      </c>
      <c r="G16" s="223">
        <v>4800.0</v>
      </c>
    </row>
    <row r="17" ht="18.75" customHeight="1">
      <c r="A17" s="86"/>
      <c r="B17" s="228">
        <v>45868.0</v>
      </c>
      <c r="C17" s="86" t="s">
        <v>591</v>
      </c>
      <c r="D17" s="86" t="s">
        <v>594</v>
      </c>
      <c r="E17" s="86" t="s">
        <v>595</v>
      </c>
      <c r="F17" s="222">
        <v>1.0</v>
      </c>
      <c r="G17" s="223">
        <f>2500*(1-10%)</f>
        <v>2250</v>
      </c>
    </row>
    <row r="18" ht="18.75" customHeight="1">
      <c r="A18" s="86"/>
      <c r="B18" s="228">
        <v>45868.0</v>
      </c>
      <c r="C18" s="86" t="s">
        <v>389</v>
      </c>
      <c r="D18" s="86" t="s">
        <v>222</v>
      </c>
      <c r="E18" s="86" t="s">
        <v>57</v>
      </c>
      <c r="F18" s="222">
        <v>1.0</v>
      </c>
      <c r="G18" s="223">
        <v>6000.0</v>
      </c>
    </row>
    <row r="19" ht="18.75" customHeight="1">
      <c r="A19" s="86"/>
      <c r="B19" s="228">
        <v>45868.0</v>
      </c>
      <c r="C19" s="86" t="s">
        <v>596</v>
      </c>
      <c r="D19" s="86" t="s">
        <v>289</v>
      </c>
      <c r="E19" s="86" t="s">
        <v>28</v>
      </c>
      <c r="F19" s="222">
        <v>1.0</v>
      </c>
      <c r="G19" s="223">
        <v>6000.0</v>
      </c>
    </row>
    <row r="20" ht="18.75" customHeight="1">
      <c r="A20" s="86"/>
      <c r="B20" s="228">
        <v>45876.0</v>
      </c>
      <c r="C20" s="86" t="s">
        <v>389</v>
      </c>
      <c r="D20" s="86" t="s">
        <v>597</v>
      </c>
      <c r="E20" s="86" t="s">
        <v>57</v>
      </c>
      <c r="F20" s="222">
        <v>1.0</v>
      </c>
      <c r="G20" s="223">
        <v>7800.0</v>
      </c>
    </row>
    <row r="21" ht="18.75" customHeight="1">
      <c r="A21" s="86"/>
      <c r="B21" s="229">
        <v>45876.0</v>
      </c>
      <c r="C21" s="86" t="s">
        <v>598</v>
      </c>
      <c r="D21" s="135" t="s">
        <v>77</v>
      </c>
      <c r="E21" s="135" t="s">
        <v>93</v>
      </c>
      <c r="F21" s="222">
        <v>1.0</v>
      </c>
      <c r="G21" s="223">
        <v>4950.0</v>
      </c>
    </row>
    <row r="22" ht="18.75" customHeight="1">
      <c r="A22" s="86"/>
      <c r="B22" s="47"/>
      <c r="C22" s="86" t="s">
        <v>426</v>
      </c>
      <c r="D22" s="47"/>
      <c r="E22" s="47"/>
      <c r="F22" s="222">
        <v>1.0</v>
      </c>
      <c r="G22" s="223">
        <v>3100.0</v>
      </c>
    </row>
    <row r="23" ht="18.75" customHeight="1">
      <c r="A23" s="86"/>
      <c r="B23" s="228">
        <v>45877.0</v>
      </c>
      <c r="C23" s="86" t="s">
        <v>243</v>
      </c>
      <c r="D23" s="86" t="s">
        <v>599</v>
      </c>
      <c r="E23" s="86" t="s">
        <v>57</v>
      </c>
      <c r="F23" s="222">
        <v>1.0</v>
      </c>
      <c r="G23" s="223">
        <v>10000.0</v>
      </c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92160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G2"/>
    <mergeCell ref="B14:B15"/>
    <mergeCell ref="D14:D15"/>
    <mergeCell ref="E14:E15"/>
    <mergeCell ref="B21:B22"/>
    <mergeCell ref="D21:D22"/>
    <mergeCell ref="E21:E2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8" width="9.14"/>
    <col customWidth="1" min="9" max="9" width="20.86"/>
    <col customWidth="1" min="10" max="19" width="9.14"/>
  </cols>
  <sheetData>
    <row r="1" ht="24.0" customHeight="1">
      <c r="A1" s="92" t="s">
        <v>600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/>
      <c r="B4" s="228">
        <v>45878.0</v>
      </c>
      <c r="C4" s="86" t="s">
        <v>472</v>
      </c>
      <c r="D4" s="86" t="s">
        <v>603</v>
      </c>
      <c r="E4" s="86" t="s">
        <v>604</v>
      </c>
      <c r="F4" s="222">
        <v>1.0</v>
      </c>
      <c r="G4" s="223">
        <v>2500.0</v>
      </c>
    </row>
    <row r="5" ht="18.75" customHeight="1">
      <c r="A5" s="86"/>
      <c r="B5" s="228">
        <v>45881.0</v>
      </c>
      <c r="C5" s="86" t="s">
        <v>605</v>
      </c>
      <c r="D5" s="86" t="s">
        <v>180</v>
      </c>
      <c r="E5" s="86" t="s">
        <v>93</v>
      </c>
      <c r="F5" s="222">
        <v>1.0</v>
      </c>
      <c r="G5" s="223">
        <v>5500.0</v>
      </c>
    </row>
    <row r="6" ht="18.75" customHeight="1">
      <c r="A6" s="86"/>
      <c r="B6" s="228">
        <v>45882.0</v>
      </c>
      <c r="C6" s="86" t="s">
        <v>478</v>
      </c>
      <c r="D6" s="86" t="s">
        <v>182</v>
      </c>
      <c r="E6" s="86" t="s">
        <v>315</v>
      </c>
      <c r="F6" s="222">
        <v>1.0</v>
      </c>
      <c r="G6" s="223">
        <v>5500.0</v>
      </c>
    </row>
    <row r="7" ht="18.75" customHeight="1">
      <c r="A7" s="86"/>
      <c r="B7" s="228">
        <v>45882.0</v>
      </c>
      <c r="C7" s="86" t="s">
        <v>426</v>
      </c>
      <c r="D7" s="86" t="s">
        <v>299</v>
      </c>
      <c r="E7" s="86" t="s">
        <v>61</v>
      </c>
      <c r="F7" s="222">
        <v>1.0</v>
      </c>
      <c r="G7" s="223">
        <v>3100.0</v>
      </c>
    </row>
    <row r="8" ht="18.75" customHeight="1">
      <c r="A8" s="86"/>
      <c r="B8" s="228">
        <v>45891.0</v>
      </c>
      <c r="C8" s="86" t="s">
        <v>591</v>
      </c>
      <c r="D8" s="86" t="s">
        <v>328</v>
      </c>
      <c r="E8" s="86" t="s">
        <v>473</v>
      </c>
      <c r="F8" s="222">
        <v>1.0</v>
      </c>
      <c r="G8" s="223">
        <v>2500.0</v>
      </c>
    </row>
    <row r="9" ht="18.75" customHeight="1">
      <c r="A9" s="86"/>
      <c r="B9" s="228">
        <v>45894.0</v>
      </c>
      <c r="C9" s="86" t="s">
        <v>591</v>
      </c>
      <c r="D9" s="86" t="s">
        <v>341</v>
      </c>
      <c r="E9" s="86" t="s">
        <v>473</v>
      </c>
      <c r="F9" s="222">
        <v>1.0</v>
      </c>
      <c r="G9" s="223">
        <v>2250.0</v>
      </c>
    </row>
    <row r="10" ht="18.75" customHeight="1">
      <c r="A10" s="86"/>
      <c r="B10" s="228">
        <v>45896.0</v>
      </c>
      <c r="C10" s="86" t="s">
        <v>609</v>
      </c>
      <c r="D10" s="86" t="s">
        <v>439</v>
      </c>
      <c r="E10" s="86" t="s">
        <v>321</v>
      </c>
      <c r="F10" s="222">
        <v>1.0</v>
      </c>
      <c r="G10" s="223">
        <v>4950.0</v>
      </c>
    </row>
    <row r="11" ht="18.75" customHeight="1">
      <c r="A11" s="86"/>
      <c r="B11" s="228">
        <v>45898.0</v>
      </c>
      <c r="C11" s="86" t="s">
        <v>426</v>
      </c>
      <c r="D11" s="86" t="s">
        <v>299</v>
      </c>
      <c r="E11" s="86" t="s">
        <v>61</v>
      </c>
      <c r="F11" s="222">
        <v>1.0</v>
      </c>
      <c r="G11" s="223">
        <v>2800.0</v>
      </c>
    </row>
    <row r="12" ht="18.75" customHeight="1">
      <c r="A12" s="86"/>
      <c r="B12" s="228">
        <v>45898.0</v>
      </c>
      <c r="C12" s="86" t="s">
        <v>472</v>
      </c>
      <c r="D12" s="86" t="s">
        <v>612</v>
      </c>
      <c r="E12" s="86" t="s">
        <v>351</v>
      </c>
      <c r="F12" s="222">
        <v>1.0</v>
      </c>
      <c r="G12" s="223">
        <v>1800.0</v>
      </c>
    </row>
    <row r="13" ht="18.75" customHeight="1">
      <c r="A13" s="86"/>
      <c r="B13" s="228">
        <v>45899.0</v>
      </c>
      <c r="C13" s="86" t="s">
        <v>614</v>
      </c>
      <c r="D13" s="86" t="s">
        <v>615</v>
      </c>
      <c r="E13" s="86" t="s">
        <v>47</v>
      </c>
      <c r="F13" s="222">
        <v>1.0</v>
      </c>
      <c r="G13" s="223">
        <v>5500.0</v>
      </c>
    </row>
    <row r="14" ht="18.75" customHeight="1">
      <c r="A14" s="86"/>
      <c r="B14" s="228">
        <v>45905.0</v>
      </c>
      <c r="C14" s="86" t="s">
        <v>472</v>
      </c>
      <c r="D14" s="86" t="s">
        <v>87</v>
      </c>
      <c r="E14" s="86" t="s">
        <v>617</v>
      </c>
      <c r="F14" s="222">
        <v>1.0</v>
      </c>
      <c r="G14" s="223">
        <v>1800.0</v>
      </c>
    </row>
    <row r="15" ht="18.75" customHeight="1">
      <c r="A15" s="86"/>
      <c r="B15" s="228"/>
      <c r="C15" s="86"/>
      <c r="D15" s="86"/>
      <c r="E15" s="86"/>
      <c r="F15" s="222"/>
      <c r="G15" s="223"/>
    </row>
    <row r="16" ht="18.75" customHeight="1">
      <c r="A16" s="86"/>
      <c r="B16" s="228"/>
      <c r="C16" s="86"/>
      <c r="D16" s="86"/>
      <c r="E16" s="86"/>
      <c r="F16" s="222"/>
      <c r="G16" s="223"/>
    </row>
    <row r="17" ht="18.75" customHeight="1">
      <c r="A17" s="86"/>
      <c r="B17" s="228"/>
      <c r="C17" s="86"/>
      <c r="D17" s="86"/>
      <c r="E17" s="86"/>
      <c r="F17" s="222"/>
      <c r="G17" s="223"/>
    </row>
    <row r="18" ht="18.75" customHeight="1">
      <c r="A18" s="86"/>
      <c r="B18" s="228"/>
      <c r="C18" s="86"/>
      <c r="D18" s="86"/>
      <c r="E18" s="86"/>
      <c r="F18" s="222"/>
      <c r="G18" s="223"/>
    </row>
    <row r="19" ht="18.75" customHeight="1">
      <c r="A19" s="86"/>
      <c r="B19" s="228"/>
      <c r="C19" s="86"/>
      <c r="D19" s="86"/>
      <c r="E19" s="86"/>
      <c r="F19" s="222"/>
      <c r="G19" s="223"/>
    </row>
    <row r="20" ht="18.75" customHeight="1">
      <c r="A20" s="86"/>
      <c r="B20" s="228"/>
      <c r="C20" s="86"/>
      <c r="D20" s="86"/>
      <c r="E20" s="86"/>
      <c r="F20" s="222"/>
      <c r="G20" s="223"/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38200</v>
      </c>
      <c r="I30" s="231">
        <f>G30/2</f>
        <v>19100</v>
      </c>
    </row>
    <row r="31" ht="18.75" customHeight="1">
      <c r="A31" s="150"/>
      <c r="B31" s="205"/>
      <c r="C31" s="87"/>
      <c r="D31" s="74"/>
      <c r="E31" s="74"/>
      <c r="F31" s="75"/>
      <c r="G31" s="206"/>
      <c r="I31" s="231">
        <f>I30-4000</f>
        <v>15100</v>
      </c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5.75" customHeight="1">
      <c r="B231" s="59"/>
    </row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601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>
        <v>1.0</v>
      </c>
      <c r="B4" s="229">
        <v>45909.0</v>
      </c>
      <c r="C4" s="86" t="s">
        <v>389</v>
      </c>
      <c r="D4" s="135" t="s">
        <v>401</v>
      </c>
      <c r="E4" s="154" t="s">
        <v>168</v>
      </c>
      <c r="F4" s="222">
        <v>1.0</v>
      </c>
      <c r="G4" s="223">
        <v>6000.0</v>
      </c>
    </row>
    <row r="5" ht="18.75" customHeight="1">
      <c r="A5" s="86"/>
      <c r="B5" s="38"/>
      <c r="C5" s="86" t="s">
        <v>596</v>
      </c>
      <c r="D5" s="38"/>
      <c r="E5" s="38"/>
      <c r="F5" s="222">
        <v>1.0</v>
      </c>
      <c r="G5" s="223">
        <v>6000.0</v>
      </c>
    </row>
    <row r="6" ht="18.75" customHeight="1">
      <c r="A6" s="86"/>
      <c r="B6" s="47"/>
      <c r="C6" s="86" t="s">
        <v>591</v>
      </c>
      <c r="D6" s="47"/>
      <c r="E6" s="47"/>
      <c r="F6" s="222">
        <v>1.0</v>
      </c>
      <c r="G6" s="223">
        <v>2500.0</v>
      </c>
    </row>
    <row r="7" ht="18.75" customHeight="1">
      <c r="A7" s="86"/>
      <c r="B7" s="228">
        <v>45909.0</v>
      </c>
      <c r="C7" s="86" t="s">
        <v>472</v>
      </c>
      <c r="D7" s="86" t="s">
        <v>613</v>
      </c>
      <c r="E7" s="86" t="s">
        <v>384</v>
      </c>
      <c r="F7" s="222">
        <v>1.0</v>
      </c>
      <c r="G7" s="223">
        <v>1800.0</v>
      </c>
    </row>
    <row r="8" ht="18.75" customHeight="1">
      <c r="A8" s="86"/>
      <c r="B8" s="228">
        <v>45913.0</v>
      </c>
      <c r="C8" s="86" t="s">
        <v>389</v>
      </c>
      <c r="D8" s="86" t="s">
        <v>313</v>
      </c>
      <c r="E8" s="86" t="s">
        <v>134</v>
      </c>
      <c r="F8" s="222">
        <v>1.0</v>
      </c>
      <c r="G8" s="223">
        <v>6000.0</v>
      </c>
    </row>
    <row r="9" ht="18.75" customHeight="1">
      <c r="A9" s="86"/>
      <c r="B9" s="228">
        <v>45929.0</v>
      </c>
      <c r="C9" s="86" t="s">
        <v>593</v>
      </c>
      <c r="D9" s="86" t="s">
        <v>182</v>
      </c>
      <c r="E9" s="86" t="s">
        <v>351</v>
      </c>
      <c r="F9" s="222">
        <v>1.0</v>
      </c>
      <c r="G9" s="223">
        <v>4500.0</v>
      </c>
    </row>
    <row r="10" ht="18.75" customHeight="1">
      <c r="A10" s="86"/>
      <c r="B10" s="228">
        <v>45931.0</v>
      </c>
      <c r="C10" s="86" t="s">
        <v>591</v>
      </c>
      <c r="D10" s="86"/>
      <c r="E10" s="86" t="s">
        <v>473</v>
      </c>
      <c r="F10" s="222">
        <v>1.0</v>
      </c>
      <c r="G10" s="223">
        <v>2250.0</v>
      </c>
    </row>
    <row r="11" ht="18.75" customHeight="1">
      <c r="A11" s="86"/>
      <c r="B11" s="229">
        <v>45934.0</v>
      </c>
      <c r="C11" s="86" t="s">
        <v>389</v>
      </c>
      <c r="D11" s="135" t="s">
        <v>621</v>
      </c>
      <c r="E11" s="86" t="s">
        <v>622</v>
      </c>
      <c r="F11" s="222">
        <v>1.0</v>
      </c>
      <c r="G11" s="223">
        <v>6000.0</v>
      </c>
    </row>
    <row r="12" ht="18.75" customHeight="1">
      <c r="A12" s="86"/>
      <c r="B12" s="47"/>
      <c r="C12" s="86" t="s">
        <v>472</v>
      </c>
      <c r="D12" s="47"/>
      <c r="E12" s="86"/>
      <c r="F12" s="222">
        <v>1.0</v>
      </c>
      <c r="G12" s="223">
        <v>1800.0</v>
      </c>
    </row>
    <row r="13" ht="18.75" customHeight="1">
      <c r="A13" s="86"/>
      <c r="B13" s="228">
        <v>45936.0</v>
      </c>
      <c r="C13" s="86" t="s">
        <v>607</v>
      </c>
      <c r="D13" s="86" t="s">
        <v>460</v>
      </c>
      <c r="E13" s="86" t="s">
        <v>624</v>
      </c>
      <c r="F13" s="222">
        <v>1.0</v>
      </c>
      <c r="G13" s="223">
        <v>5500.0</v>
      </c>
    </row>
    <row r="14" ht="18.75" customHeight="1">
      <c r="A14" s="86"/>
      <c r="B14" s="228">
        <v>45937.0</v>
      </c>
      <c r="C14" s="86" t="s">
        <v>629</v>
      </c>
      <c r="D14" s="86" t="s">
        <v>521</v>
      </c>
      <c r="E14" s="86" t="s">
        <v>512</v>
      </c>
      <c r="F14" s="222">
        <v>1.0</v>
      </c>
      <c r="G14" s="223">
        <v>2500.0</v>
      </c>
    </row>
    <row r="15" ht="18.75" customHeight="1">
      <c r="A15" s="86"/>
      <c r="B15" s="228">
        <v>45937.0</v>
      </c>
      <c r="C15" s="86" t="s">
        <v>631</v>
      </c>
      <c r="D15" s="86" t="s">
        <v>164</v>
      </c>
      <c r="E15" s="86" t="s">
        <v>134</v>
      </c>
      <c r="F15" s="222">
        <v>1.0</v>
      </c>
      <c r="G15" s="223">
        <v>6000.0</v>
      </c>
    </row>
    <row r="16" ht="18.75" customHeight="1">
      <c r="A16" s="86"/>
      <c r="B16" s="228">
        <v>45937.0</v>
      </c>
      <c r="C16" s="86" t="s">
        <v>463</v>
      </c>
      <c r="D16" s="86" t="s">
        <v>100</v>
      </c>
      <c r="E16" s="86" t="s">
        <v>23</v>
      </c>
      <c r="F16" s="222">
        <v>1.0</v>
      </c>
      <c r="G16" s="223">
        <v>7110.0</v>
      </c>
    </row>
    <row r="17" ht="18.75" customHeight="1">
      <c r="A17" s="86"/>
      <c r="B17" s="228" t="s">
        <v>633</v>
      </c>
      <c r="C17" s="86"/>
      <c r="D17" s="86"/>
      <c r="E17" s="86"/>
      <c r="F17" s="222"/>
      <c r="G17" s="223"/>
    </row>
    <row r="18" ht="18.75" customHeight="1">
      <c r="A18" s="86"/>
      <c r="B18" s="228"/>
      <c r="C18" s="86"/>
      <c r="D18" s="86"/>
      <c r="E18" s="86"/>
      <c r="F18" s="222"/>
      <c r="G18" s="223"/>
    </row>
    <row r="19" ht="18.75" customHeight="1">
      <c r="A19" s="86"/>
      <c r="B19" s="228"/>
      <c r="C19" s="86"/>
      <c r="D19" s="86"/>
      <c r="E19" s="86"/>
      <c r="F19" s="222"/>
      <c r="G19" s="223"/>
    </row>
    <row r="20" ht="18.75" customHeight="1">
      <c r="A20" s="86"/>
      <c r="B20" s="228"/>
      <c r="C20" s="86"/>
      <c r="D20" s="86"/>
      <c r="E20" s="86"/>
      <c r="F20" s="222"/>
      <c r="G20" s="223"/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57960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2"/>
    <mergeCell ref="B4:B6"/>
    <mergeCell ref="D4:D6"/>
    <mergeCell ref="E4:E6"/>
    <mergeCell ref="B11:B12"/>
    <mergeCell ref="D11:D1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602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>
        <v>1.0</v>
      </c>
      <c r="B4" s="228">
        <v>45939.0</v>
      </c>
      <c r="C4" s="86" t="s">
        <v>478</v>
      </c>
      <c r="D4" s="86" t="s">
        <v>606</v>
      </c>
      <c r="E4" s="86" t="s">
        <v>57</v>
      </c>
      <c r="F4" s="222">
        <v>1.0</v>
      </c>
      <c r="G4" s="223">
        <v>5500.0</v>
      </c>
    </row>
    <row r="5" ht="18.75" customHeight="1">
      <c r="A5" s="86"/>
      <c r="B5" s="229">
        <v>45940.0</v>
      </c>
      <c r="C5" s="86" t="s">
        <v>607</v>
      </c>
      <c r="D5" s="135" t="s">
        <v>464</v>
      </c>
      <c r="E5" s="135" t="s">
        <v>93</v>
      </c>
      <c r="F5" s="222">
        <v>1.0</v>
      </c>
      <c r="G5" s="223">
        <v>5500.0</v>
      </c>
    </row>
    <row r="6" ht="18.75" customHeight="1">
      <c r="A6" s="86"/>
      <c r="B6" s="47"/>
      <c r="C6" s="86" t="s">
        <v>426</v>
      </c>
      <c r="D6" s="47"/>
      <c r="E6" s="47"/>
      <c r="F6" s="222">
        <v>1.0</v>
      </c>
      <c r="G6" s="223">
        <v>3100.0</v>
      </c>
    </row>
    <row r="7" ht="18.75" customHeight="1">
      <c r="A7" s="86"/>
      <c r="B7" s="228">
        <v>45941.0</v>
      </c>
      <c r="C7" s="86" t="s">
        <v>608</v>
      </c>
      <c r="D7" s="86"/>
      <c r="E7" s="86" t="s">
        <v>512</v>
      </c>
      <c r="F7" s="222">
        <v>1.0</v>
      </c>
      <c r="G7" s="223">
        <v>1800.0</v>
      </c>
    </row>
    <row r="8" ht="18.75" customHeight="1">
      <c r="A8" s="86"/>
      <c r="B8" s="228">
        <v>45953.0</v>
      </c>
      <c r="C8" s="86" t="s">
        <v>610</v>
      </c>
      <c r="D8" s="86" t="s">
        <v>299</v>
      </c>
      <c r="E8" s="86" t="s">
        <v>551</v>
      </c>
      <c r="F8" s="222">
        <v>1.0</v>
      </c>
      <c r="G8" s="223">
        <v>2500.0</v>
      </c>
    </row>
    <row r="9" ht="18.75" customHeight="1">
      <c r="A9" s="86"/>
      <c r="B9" s="228">
        <v>45955.0</v>
      </c>
      <c r="C9" s="86" t="s">
        <v>611</v>
      </c>
      <c r="D9" s="86" t="s">
        <v>439</v>
      </c>
      <c r="E9" s="86" t="s">
        <v>57</v>
      </c>
      <c r="F9" s="222">
        <v>1.0</v>
      </c>
      <c r="G9" s="223">
        <v>4950.0</v>
      </c>
    </row>
    <row r="10" ht="18.75" customHeight="1">
      <c r="A10" s="86"/>
      <c r="B10" s="228">
        <v>45955.0</v>
      </c>
      <c r="C10" s="86" t="s">
        <v>596</v>
      </c>
      <c r="D10" s="86" t="s">
        <v>520</v>
      </c>
      <c r="E10" s="86" t="s">
        <v>512</v>
      </c>
      <c r="F10" s="222">
        <v>1.0</v>
      </c>
      <c r="G10" s="223">
        <v>6000.0</v>
      </c>
    </row>
    <row r="11" ht="18.75" customHeight="1">
      <c r="A11" s="86"/>
      <c r="B11" s="228"/>
      <c r="C11" s="86" t="s">
        <v>616</v>
      </c>
      <c r="D11" s="86"/>
      <c r="E11" s="86"/>
      <c r="F11" s="222">
        <v>1.0</v>
      </c>
      <c r="G11" s="223">
        <v>2000.0</v>
      </c>
    </row>
    <row r="12" ht="18.75" customHeight="1">
      <c r="A12" s="86"/>
      <c r="B12" s="228">
        <v>45957.0</v>
      </c>
      <c r="C12" s="86" t="s">
        <v>618</v>
      </c>
      <c r="D12" s="86"/>
      <c r="E12" s="86" t="s">
        <v>619</v>
      </c>
      <c r="F12" s="222">
        <v>1.0</v>
      </c>
      <c r="G12" s="223">
        <v>2000.0</v>
      </c>
    </row>
    <row r="13" ht="18.75" customHeight="1">
      <c r="A13" s="86"/>
      <c r="B13" s="228">
        <v>45960.0</v>
      </c>
      <c r="C13" s="86" t="s">
        <v>591</v>
      </c>
      <c r="D13" s="86" t="s">
        <v>529</v>
      </c>
      <c r="E13" s="86" t="s">
        <v>473</v>
      </c>
      <c r="F13" s="222">
        <v>1.0</v>
      </c>
      <c r="G13" s="223">
        <v>2500.0</v>
      </c>
    </row>
    <row r="14" ht="18.75" customHeight="1">
      <c r="A14" s="86"/>
      <c r="B14" s="228">
        <v>45961.0</v>
      </c>
      <c r="C14" s="86" t="s">
        <v>596</v>
      </c>
      <c r="D14" s="86" t="s">
        <v>620</v>
      </c>
      <c r="E14" s="86" t="s">
        <v>512</v>
      </c>
      <c r="F14" s="222">
        <v>1.0</v>
      </c>
      <c r="G14" s="223">
        <v>6000.0</v>
      </c>
    </row>
    <row r="15" ht="18.75" customHeight="1">
      <c r="A15" s="86"/>
      <c r="B15" s="228"/>
      <c r="C15" s="86" t="s">
        <v>616</v>
      </c>
      <c r="D15" s="86"/>
      <c r="E15" s="86"/>
      <c r="F15" s="222">
        <v>1.0</v>
      </c>
      <c r="G15" s="223">
        <v>2000.0</v>
      </c>
    </row>
    <row r="16" ht="18.75" customHeight="1">
      <c r="A16" s="86"/>
      <c r="B16" s="228">
        <v>45962.0</v>
      </c>
      <c r="C16" s="86" t="s">
        <v>590</v>
      </c>
      <c r="D16" s="86" t="s">
        <v>46</v>
      </c>
      <c r="E16" s="86" t="s">
        <v>623</v>
      </c>
      <c r="F16" s="222">
        <v>1.0</v>
      </c>
      <c r="G16" s="223">
        <v>4200.0</v>
      </c>
    </row>
    <row r="17" ht="18.75" customHeight="1">
      <c r="A17" s="86"/>
      <c r="B17" s="228">
        <v>45962.0</v>
      </c>
      <c r="C17" s="86" t="s">
        <v>590</v>
      </c>
      <c r="D17" s="86" t="s">
        <v>446</v>
      </c>
      <c r="E17" s="86" t="s">
        <v>509</v>
      </c>
      <c r="F17" s="222">
        <v>1.0</v>
      </c>
      <c r="G17" s="223">
        <v>4200.0</v>
      </c>
    </row>
    <row r="18" ht="18.75" customHeight="1">
      <c r="A18" s="86"/>
      <c r="B18" s="228">
        <v>45963.0</v>
      </c>
      <c r="C18" s="86" t="s">
        <v>625</v>
      </c>
      <c r="D18" s="86" t="s">
        <v>626</v>
      </c>
      <c r="E18" s="86" t="s">
        <v>627</v>
      </c>
      <c r="F18" s="230" t="s">
        <v>628</v>
      </c>
      <c r="G18" s="223">
        <v>1250.0</v>
      </c>
    </row>
    <row r="19" ht="18.75" customHeight="1">
      <c r="A19" s="86"/>
      <c r="B19" s="228">
        <v>45964.0</v>
      </c>
      <c r="C19" s="86" t="s">
        <v>590</v>
      </c>
      <c r="D19" s="86" t="s">
        <v>630</v>
      </c>
      <c r="E19" s="86" t="s">
        <v>78</v>
      </c>
      <c r="F19" s="222">
        <v>1.0</v>
      </c>
      <c r="G19" s="223">
        <v>4200.0</v>
      </c>
    </row>
    <row r="20" ht="18.75" customHeight="1">
      <c r="A20" s="86"/>
      <c r="B20" s="228">
        <v>45965.0</v>
      </c>
      <c r="C20" s="86" t="s">
        <v>590</v>
      </c>
      <c r="D20" s="86" t="s">
        <v>91</v>
      </c>
      <c r="E20" s="86" t="s">
        <v>97</v>
      </c>
      <c r="F20" s="222">
        <v>1.0</v>
      </c>
      <c r="G20" s="223">
        <v>4200.0</v>
      </c>
    </row>
    <row r="21" ht="18.75" customHeight="1">
      <c r="A21" s="86"/>
      <c r="B21" s="228">
        <v>45966.0</v>
      </c>
      <c r="C21" s="86" t="s">
        <v>632</v>
      </c>
      <c r="D21" s="86" t="s">
        <v>634</v>
      </c>
      <c r="E21" s="86" t="s">
        <v>635</v>
      </c>
      <c r="F21" s="222">
        <v>1.0</v>
      </c>
      <c r="G21" s="223">
        <v>1800.0</v>
      </c>
    </row>
    <row r="22" ht="18.75" customHeight="1">
      <c r="A22" s="86"/>
      <c r="B22" s="228">
        <v>45967.0</v>
      </c>
      <c r="C22" s="86" t="s">
        <v>590</v>
      </c>
      <c r="D22" s="86" t="s">
        <v>521</v>
      </c>
      <c r="E22" s="86" t="s">
        <v>57</v>
      </c>
      <c r="F22" s="222">
        <v>1.0</v>
      </c>
      <c r="G22" s="223">
        <v>4200.0</v>
      </c>
    </row>
    <row r="23" ht="18.75" customHeight="1">
      <c r="A23" s="86"/>
      <c r="B23" s="228">
        <v>45967.0</v>
      </c>
      <c r="C23" s="86" t="s">
        <v>590</v>
      </c>
      <c r="D23" s="86" t="s">
        <v>71</v>
      </c>
      <c r="E23" s="86" t="s">
        <v>28</v>
      </c>
      <c r="F23" s="222">
        <v>1.0</v>
      </c>
      <c r="G23" s="223">
        <v>4200.0</v>
      </c>
    </row>
    <row r="24" ht="18.75" customHeight="1">
      <c r="A24" s="86"/>
      <c r="B24" s="228">
        <v>45968.0</v>
      </c>
      <c r="C24" s="86" t="s">
        <v>591</v>
      </c>
      <c r="D24" s="86" t="s">
        <v>65</v>
      </c>
      <c r="E24" s="86" t="s">
        <v>512</v>
      </c>
      <c r="F24" s="222">
        <v>1.0</v>
      </c>
      <c r="G24" s="223">
        <v>2250.0</v>
      </c>
    </row>
    <row r="25" ht="18.75" customHeight="1">
      <c r="A25" s="86"/>
      <c r="B25" s="228">
        <v>45969.0</v>
      </c>
      <c r="C25" s="86" t="s">
        <v>591</v>
      </c>
      <c r="D25" s="86" t="s">
        <v>636</v>
      </c>
      <c r="E25" s="86" t="s">
        <v>512</v>
      </c>
      <c r="F25" s="222">
        <v>1.0</v>
      </c>
      <c r="G25" s="223">
        <v>2500.0</v>
      </c>
    </row>
    <row r="26" ht="18.75" customHeight="1">
      <c r="A26" s="86"/>
      <c r="B26" s="228">
        <v>45969.0</v>
      </c>
      <c r="C26" s="86" t="s">
        <v>625</v>
      </c>
      <c r="D26" s="86" t="s">
        <v>36</v>
      </c>
      <c r="E26" s="86" t="s">
        <v>554</v>
      </c>
      <c r="F26" s="222">
        <v>1.0</v>
      </c>
      <c r="G26" s="223">
        <v>5000.0</v>
      </c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81850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G2"/>
    <mergeCell ref="B5:B6"/>
    <mergeCell ref="D5:D6"/>
    <mergeCell ref="E5:E6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637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/>
      <c r="B4" s="228">
        <v>45971.0</v>
      </c>
      <c r="C4" s="86" t="s">
        <v>638</v>
      </c>
      <c r="D4" s="86" t="s">
        <v>110</v>
      </c>
      <c r="E4" s="86" t="s">
        <v>61</v>
      </c>
      <c r="F4" s="222">
        <v>1.0</v>
      </c>
      <c r="G4" s="223">
        <v>4200.0</v>
      </c>
    </row>
    <row r="5" ht="18.75" customHeight="1">
      <c r="A5" s="86"/>
      <c r="B5" s="232">
        <v>45972.0</v>
      </c>
      <c r="C5" s="86" t="s">
        <v>639</v>
      </c>
      <c r="D5" s="137" t="s">
        <v>640</v>
      </c>
      <c r="E5" s="137" t="s">
        <v>641</v>
      </c>
      <c r="F5" s="222">
        <v>1.0</v>
      </c>
      <c r="G5" s="223">
        <v>4200.0</v>
      </c>
    </row>
    <row r="6" ht="18.75" customHeight="1">
      <c r="A6" s="86"/>
      <c r="B6" s="233">
        <v>45973.0</v>
      </c>
      <c r="C6" s="86" t="s">
        <v>590</v>
      </c>
      <c r="D6" s="85" t="s">
        <v>454</v>
      </c>
      <c r="E6" s="85" t="s">
        <v>31</v>
      </c>
      <c r="F6" s="222">
        <v>1.0</v>
      </c>
      <c r="G6" s="223">
        <v>4200.0</v>
      </c>
    </row>
    <row r="7" ht="18.75" customHeight="1">
      <c r="A7" s="86"/>
      <c r="B7" s="228">
        <v>45979.0</v>
      </c>
      <c r="C7" s="86" t="s">
        <v>478</v>
      </c>
      <c r="D7" s="86" t="s">
        <v>642</v>
      </c>
      <c r="E7" s="86" t="s">
        <v>66</v>
      </c>
      <c r="F7" s="222">
        <v>1.0</v>
      </c>
      <c r="G7" s="223">
        <v>5500.0</v>
      </c>
    </row>
    <row r="8" ht="18.75" customHeight="1">
      <c r="A8" s="86"/>
      <c r="B8" s="228">
        <v>45982.0</v>
      </c>
      <c r="C8" s="86" t="s">
        <v>591</v>
      </c>
      <c r="D8" s="86" t="s">
        <v>643</v>
      </c>
      <c r="E8" s="86" t="s">
        <v>512</v>
      </c>
      <c r="F8" s="222">
        <v>1.0</v>
      </c>
      <c r="G8" s="223">
        <v>2500.0</v>
      </c>
    </row>
    <row r="9" ht="18.75" customHeight="1">
      <c r="A9" s="86"/>
      <c r="B9" s="228">
        <v>45982.0</v>
      </c>
      <c r="C9" s="86" t="s">
        <v>639</v>
      </c>
      <c r="D9" s="86" t="s">
        <v>311</v>
      </c>
      <c r="E9" s="86" t="s">
        <v>370</v>
      </c>
      <c r="F9" s="222">
        <v>1.0</v>
      </c>
      <c r="G9" s="223">
        <v>4200.0</v>
      </c>
    </row>
    <row r="10" ht="18.75" customHeight="1">
      <c r="A10" s="86"/>
      <c r="B10" s="228">
        <v>45985.0</v>
      </c>
      <c r="C10" s="86" t="s">
        <v>472</v>
      </c>
      <c r="D10" s="86" t="s">
        <v>93</v>
      </c>
      <c r="E10" s="86" t="s">
        <v>316</v>
      </c>
      <c r="F10" s="222">
        <v>2.0</v>
      </c>
      <c r="G10" s="223">
        <v>3240.0</v>
      </c>
    </row>
    <row r="11" ht="18.75" customHeight="1">
      <c r="A11" s="86"/>
      <c r="B11" s="228">
        <v>45985.0</v>
      </c>
      <c r="C11" s="86" t="s">
        <v>590</v>
      </c>
      <c r="D11" s="86" t="s">
        <v>47</v>
      </c>
      <c r="E11" s="86" t="s">
        <v>113</v>
      </c>
      <c r="F11" s="222">
        <v>1.0</v>
      </c>
      <c r="G11" s="223">
        <v>4200.0</v>
      </c>
    </row>
    <row r="12" ht="18.75" customHeight="1">
      <c r="A12" s="86"/>
      <c r="B12" s="228">
        <v>45988.0</v>
      </c>
      <c r="C12" s="86" t="s">
        <v>644</v>
      </c>
      <c r="D12" s="86" t="s">
        <v>93</v>
      </c>
      <c r="E12" s="86" t="s">
        <v>645</v>
      </c>
      <c r="F12" s="222">
        <v>1.0</v>
      </c>
      <c r="G12" s="223">
        <v>1800.0</v>
      </c>
    </row>
    <row r="13" ht="18.75" customHeight="1">
      <c r="A13" s="86"/>
      <c r="B13" s="228">
        <v>45993.0</v>
      </c>
      <c r="C13" s="86" t="s">
        <v>590</v>
      </c>
      <c r="D13" s="86" t="s">
        <v>509</v>
      </c>
      <c r="E13" s="86" t="s">
        <v>498</v>
      </c>
      <c r="F13" s="222">
        <v>1.0</v>
      </c>
      <c r="G13" s="223">
        <v>3780.0</v>
      </c>
      <c r="H13" s="227">
        <f>4200-420</f>
        <v>3780</v>
      </c>
    </row>
    <row r="14" ht="18.75" customHeight="1">
      <c r="A14" s="86"/>
      <c r="B14" s="228">
        <v>45995.0</v>
      </c>
      <c r="C14" s="86" t="s">
        <v>646</v>
      </c>
      <c r="D14" s="86" t="s">
        <v>156</v>
      </c>
      <c r="E14" s="86" t="s">
        <v>72</v>
      </c>
      <c r="F14" s="222">
        <v>1.0</v>
      </c>
      <c r="G14" s="223">
        <v>4200.0</v>
      </c>
    </row>
    <row r="15" ht="18.75" customHeight="1">
      <c r="A15" s="86"/>
      <c r="B15" s="228"/>
      <c r="C15" s="86"/>
      <c r="D15" s="86"/>
      <c r="E15" s="86"/>
      <c r="F15" s="222"/>
      <c r="G15" s="223"/>
    </row>
    <row r="16" ht="18.75" customHeight="1">
      <c r="A16" s="86"/>
      <c r="B16" s="228"/>
      <c r="C16" s="86"/>
      <c r="D16" s="86"/>
      <c r="E16" s="86"/>
      <c r="F16" s="222"/>
      <c r="G16" s="223"/>
    </row>
    <row r="17" ht="18.75" customHeight="1">
      <c r="A17" s="86"/>
      <c r="B17" s="228"/>
      <c r="C17" s="86"/>
      <c r="D17" s="86"/>
      <c r="E17" s="86"/>
      <c r="F17" s="222"/>
      <c r="G17" s="223"/>
    </row>
    <row r="18" ht="18.75" customHeight="1">
      <c r="A18" s="86"/>
      <c r="B18" s="228"/>
      <c r="C18" s="86"/>
      <c r="D18" s="86"/>
      <c r="E18" s="86"/>
      <c r="F18" s="230"/>
      <c r="G18" s="223"/>
    </row>
    <row r="19" ht="18.75" customHeight="1">
      <c r="A19" s="86"/>
      <c r="B19" s="228"/>
      <c r="C19" s="86"/>
      <c r="D19" s="86"/>
      <c r="E19" s="86"/>
      <c r="F19" s="222"/>
      <c r="G19" s="223"/>
    </row>
    <row r="20" ht="18.75" customHeight="1">
      <c r="A20" s="86"/>
      <c r="B20" s="228"/>
      <c r="C20" s="86"/>
      <c r="D20" s="86"/>
      <c r="E20" s="86"/>
      <c r="F20" s="222"/>
      <c r="G20" s="223"/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42020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8" width="9.14"/>
    <col customWidth="1" min="9" max="9" width="27.86"/>
    <col customWidth="1" min="10" max="19" width="9.14"/>
  </cols>
  <sheetData>
    <row r="1" ht="24.0" customHeight="1">
      <c r="A1" s="92" t="s">
        <v>647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/>
      <c r="B4" s="228">
        <v>46000.0</v>
      </c>
      <c r="C4" s="86" t="s">
        <v>605</v>
      </c>
      <c r="D4" s="86" t="s">
        <v>87</v>
      </c>
      <c r="E4" s="86" t="s">
        <v>47</v>
      </c>
      <c r="F4" s="222">
        <v>1.0</v>
      </c>
      <c r="G4" s="223">
        <v>5500.0</v>
      </c>
    </row>
    <row r="5" ht="18.75" customHeight="1">
      <c r="A5" s="86"/>
      <c r="B5" s="232">
        <v>46003.0</v>
      </c>
      <c r="C5" s="86" t="s">
        <v>639</v>
      </c>
      <c r="D5" s="137" t="s">
        <v>507</v>
      </c>
      <c r="E5" s="137" t="s">
        <v>28</v>
      </c>
      <c r="F5" s="222">
        <v>1.0</v>
      </c>
      <c r="G5" s="223">
        <v>4200.0</v>
      </c>
    </row>
    <row r="6" ht="18.75" customHeight="1">
      <c r="A6" s="86"/>
      <c r="B6" s="233">
        <v>46003.0</v>
      </c>
      <c r="C6" s="86" t="s">
        <v>646</v>
      </c>
      <c r="D6" s="85" t="s">
        <v>36</v>
      </c>
      <c r="E6" s="85" t="s">
        <v>371</v>
      </c>
      <c r="F6" s="222">
        <v>1.0</v>
      </c>
      <c r="G6" s="223">
        <v>4200.0</v>
      </c>
    </row>
    <row r="7" ht="18.75" customHeight="1">
      <c r="A7" s="86"/>
      <c r="B7" s="228">
        <v>46005.0</v>
      </c>
      <c r="C7" s="86" t="s">
        <v>605</v>
      </c>
      <c r="D7" s="86" t="s">
        <v>73</v>
      </c>
      <c r="E7" s="86" t="s">
        <v>93</v>
      </c>
      <c r="F7" s="222">
        <v>1.0</v>
      </c>
      <c r="G7" s="223">
        <v>4950.0</v>
      </c>
    </row>
    <row r="8" ht="18.75" customHeight="1">
      <c r="A8" s="86"/>
      <c r="B8" s="228">
        <v>46006.0</v>
      </c>
      <c r="C8" s="86" t="s">
        <v>590</v>
      </c>
      <c r="D8" s="86" t="s">
        <v>425</v>
      </c>
      <c r="E8" s="86" t="s">
        <v>31</v>
      </c>
      <c r="F8" s="222">
        <v>1.0</v>
      </c>
      <c r="G8" s="223">
        <v>3780.0</v>
      </c>
      <c r="I8" s="227">
        <v>3.86268592E8</v>
      </c>
    </row>
    <row r="9" ht="18.75" customHeight="1">
      <c r="A9" s="86"/>
      <c r="B9" s="228">
        <v>46006.0</v>
      </c>
      <c r="C9" s="86" t="s">
        <v>590</v>
      </c>
      <c r="D9" s="86" t="s">
        <v>649</v>
      </c>
      <c r="E9" s="86" t="s">
        <v>31</v>
      </c>
      <c r="F9" s="222">
        <v>1.0</v>
      </c>
      <c r="G9" s="223">
        <v>3060.0</v>
      </c>
    </row>
    <row r="10" ht="18.75" customHeight="1">
      <c r="A10" s="86"/>
      <c r="B10" s="228">
        <v>46007.0</v>
      </c>
      <c r="C10" s="86" t="s">
        <v>650</v>
      </c>
      <c r="D10" s="86" t="s">
        <v>651</v>
      </c>
      <c r="E10" s="86" t="s">
        <v>652</v>
      </c>
      <c r="F10" s="222">
        <v>1.0</v>
      </c>
      <c r="G10" s="223">
        <v>1750.0</v>
      </c>
    </row>
    <row r="11" ht="18.75" customHeight="1">
      <c r="A11" s="86"/>
      <c r="B11" s="228">
        <v>46008.0</v>
      </c>
      <c r="C11" s="86" t="s">
        <v>618</v>
      </c>
      <c r="D11" s="86" t="s">
        <v>36</v>
      </c>
      <c r="E11" s="86" t="s">
        <v>31</v>
      </c>
      <c r="F11" s="222">
        <v>1.0</v>
      </c>
      <c r="G11" s="223">
        <v>1900.0</v>
      </c>
    </row>
    <row r="12" ht="18.75" customHeight="1">
      <c r="A12" s="86"/>
      <c r="B12" s="228">
        <v>46013.0</v>
      </c>
      <c r="C12" s="86" t="s">
        <v>632</v>
      </c>
      <c r="D12" s="86" t="s">
        <v>656</v>
      </c>
      <c r="E12" s="86" t="s">
        <v>473</v>
      </c>
      <c r="F12" s="222">
        <v>1.0</v>
      </c>
      <c r="G12" s="223">
        <v>1800.0</v>
      </c>
    </row>
    <row r="13" ht="18.75" customHeight="1">
      <c r="A13" s="86"/>
      <c r="B13" s="228">
        <v>46014.0</v>
      </c>
      <c r="C13" s="86" t="s">
        <v>646</v>
      </c>
      <c r="D13" s="86" t="s">
        <v>71</v>
      </c>
      <c r="E13" s="86" t="s">
        <v>659</v>
      </c>
      <c r="F13" s="222">
        <v>1.0</v>
      </c>
      <c r="G13" s="223">
        <v>4200.0</v>
      </c>
    </row>
    <row r="14" ht="18.75" customHeight="1">
      <c r="A14" s="86"/>
      <c r="B14" s="228">
        <v>46017.0</v>
      </c>
      <c r="C14" s="86" t="s">
        <v>660</v>
      </c>
      <c r="D14" s="86" t="s">
        <v>661</v>
      </c>
      <c r="E14" s="86" t="s">
        <v>221</v>
      </c>
      <c r="F14" s="222">
        <v>1.0</v>
      </c>
      <c r="G14" s="223">
        <v>6500.0</v>
      </c>
      <c r="J14" s="227">
        <f>6500+2600+2600 -1700</f>
        <v>10000</v>
      </c>
    </row>
    <row r="15" ht="18.75" customHeight="1">
      <c r="A15" s="86"/>
      <c r="B15" s="228">
        <v>46022.0</v>
      </c>
      <c r="C15" s="86" t="s">
        <v>472</v>
      </c>
      <c r="D15" s="86" t="s">
        <v>665</v>
      </c>
      <c r="E15" s="86" t="s">
        <v>93</v>
      </c>
      <c r="F15" s="222">
        <v>2.0</v>
      </c>
      <c r="G15" s="223">
        <v>3240.0</v>
      </c>
    </row>
    <row r="16" ht="18.75" customHeight="1">
      <c r="A16" s="86"/>
      <c r="B16" s="228">
        <v>46022.0</v>
      </c>
      <c r="C16" s="86" t="s">
        <v>590</v>
      </c>
      <c r="D16" s="86" t="s">
        <v>214</v>
      </c>
      <c r="E16" s="86" t="s">
        <v>666</v>
      </c>
      <c r="F16" s="222">
        <v>1.0</v>
      </c>
      <c r="G16" s="223">
        <v>3900.0</v>
      </c>
    </row>
    <row r="17" ht="18.75" customHeight="1">
      <c r="A17" s="86"/>
      <c r="B17" s="228">
        <v>46022.0</v>
      </c>
      <c r="C17" s="86" t="s">
        <v>668</v>
      </c>
      <c r="D17" s="86" t="s">
        <v>665</v>
      </c>
      <c r="E17" s="86" t="s">
        <v>93</v>
      </c>
      <c r="F17" s="222">
        <v>1.0</v>
      </c>
      <c r="G17" s="223">
        <v>4050.0</v>
      </c>
    </row>
    <row r="18" ht="18.75" customHeight="1">
      <c r="A18" s="86"/>
      <c r="B18" s="228">
        <v>46026.0</v>
      </c>
      <c r="C18" s="86" t="s">
        <v>670</v>
      </c>
      <c r="D18" s="86" t="s">
        <v>613</v>
      </c>
      <c r="E18" s="86" t="s">
        <v>671</v>
      </c>
      <c r="F18" s="230">
        <v>1.0</v>
      </c>
      <c r="G18" s="223">
        <v>4500.0</v>
      </c>
    </row>
    <row r="19" ht="18.75" customHeight="1">
      <c r="A19" s="86"/>
      <c r="B19" s="228">
        <v>46028.0</v>
      </c>
      <c r="C19" s="86" t="s">
        <v>409</v>
      </c>
      <c r="D19" s="86" t="s">
        <v>672</v>
      </c>
      <c r="E19" s="86" t="s">
        <v>283</v>
      </c>
      <c r="F19" s="222">
        <v>1.0</v>
      </c>
      <c r="G19" s="223">
        <v>6200.0</v>
      </c>
    </row>
    <row r="20" ht="18.75" customHeight="1">
      <c r="A20" s="86"/>
      <c r="B20" s="228">
        <v>46029.0</v>
      </c>
      <c r="C20" s="86" t="s">
        <v>522</v>
      </c>
      <c r="D20" s="86"/>
      <c r="E20" s="86" t="s">
        <v>371</v>
      </c>
      <c r="F20" s="222">
        <v>1.0</v>
      </c>
      <c r="G20" s="223">
        <v>3780.0</v>
      </c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  <c r="K25" s="227">
        <f>250+15+90+20+45+60+30+42+30+223+100+122+95+358+117+30+183+100+118+113+9+143+148+249+160+30+45+24+172</f>
        <v>3121</v>
      </c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67510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  <c r="K35" s="227">
        <f>K25</f>
        <v>3121</v>
      </c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5.75" customHeight="1">
      <c r="B231" s="59"/>
    </row>
    <row r="232" ht="15.75" customHeight="1">
      <c r="B232" s="59"/>
    </row>
    <row r="233" ht="15.75" customHeight="1">
      <c r="B233" s="59"/>
    </row>
    <row r="234" ht="15.75" customHeight="1">
      <c r="B234" s="59"/>
    </row>
    <row r="235" ht="15.75" customHeight="1">
      <c r="B235" s="59"/>
    </row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648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>
        <v>1.0</v>
      </c>
      <c r="B4" s="228">
        <v>46031.0</v>
      </c>
      <c r="C4" s="86" t="s">
        <v>653</v>
      </c>
      <c r="D4" s="86" t="s">
        <v>654</v>
      </c>
      <c r="E4" s="86" t="s">
        <v>655</v>
      </c>
      <c r="F4" s="222">
        <v>1.0</v>
      </c>
      <c r="G4" s="223">
        <v>2800.0</v>
      </c>
    </row>
    <row r="5" ht="18.75" customHeight="1">
      <c r="A5" s="86"/>
      <c r="B5" s="228">
        <v>46038.0</v>
      </c>
      <c r="C5" s="86" t="s">
        <v>625</v>
      </c>
      <c r="D5" s="86" t="s">
        <v>71</v>
      </c>
      <c r="E5" s="86" t="s">
        <v>657</v>
      </c>
      <c r="F5" s="222">
        <v>3.0</v>
      </c>
      <c r="G5" s="223">
        <v>7500.0</v>
      </c>
    </row>
    <row r="6" ht="18.75" customHeight="1">
      <c r="A6" s="86"/>
      <c r="B6" s="228">
        <v>46038.0</v>
      </c>
      <c r="C6" s="86" t="s">
        <v>658</v>
      </c>
      <c r="D6" s="86" t="s">
        <v>100</v>
      </c>
      <c r="E6" s="86" t="s">
        <v>61</v>
      </c>
      <c r="F6" s="222">
        <v>1.0</v>
      </c>
      <c r="G6" s="223">
        <v>1350.0</v>
      </c>
    </row>
    <row r="7" ht="18.75" customHeight="1">
      <c r="A7" s="86"/>
      <c r="B7" s="228">
        <v>46040.0</v>
      </c>
      <c r="C7" s="86" t="s">
        <v>662</v>
      </c>
      <c r="D7" s="86" t="s">
        <v>226</v>
      </c>
      <c r="E7" s="86" t="s">
        <v>227</v>
      </c>
      <c r="F7" s="222">
        <v>1.0</v>
      </c>
      <c r="G7" s="223">
        <v>4000.0</v>
      </c>
    </row>
    <row r="8" ht="18.75" customHeight="1">
      <c r="A8" s="86"/>
      <c r="B8" s="228">
        <v>46043.0</v>
      </c>
      <c r="C8" s="86" t="s">
        <v>478</v>
      </c>
      <c r="D8" s="86" t="s">
        <v>126</v>
      </c>
      <c r="E8" s="86" t="s">
        <v>663</v>
      </c>
      <c r="F8" s="222">
        <v>1.0</v>
      </c>
      <c r="G8" s="223">
        <v>5500.0</v>
      </c>
    </row>
    <row r="9" ht="18.75" customHeight="1">
      <c r="A9" s="86"/>
      <c r="B9" s="228">
        <v>46047.0</v>
      </c>
      <c r="C9" s="86" t="s">
        <v>664</v>
      </c>
      <c r="D9" s="86" t="s">
        <v>182</v>
      </c>
      <c r="E9" s="86" t="s">
        <v>97</v>
      </c>
      <c r="F9" s="222">
        <v>2.0</v>
      </c>
      <c r="G9" s="223">
        <v>4000.0</v>
      </c>
    </row>
    <row r="10" ht="18.75" customHeight="1">
      <c r="A10" s="86"/>
      <c r="B10" s="228">
        <v>46045.0</v>
      </c>
      <c r="C10" s="86" t="s">
        <v>658</v>
      </c>
      <c r="D10" s="86"/>
      <c r="E10" s="86" t="s">
        <v>473</v>
      </c>
      <c r="F10" s="222">
        <v>1.0</v>
      </c>
      <c r="G10" s="223">
        <v>1500.0</v>
      </c>
    </row>
    <row r="11" ht="18.75" customHeight="1">
      <c r="A11" s="86"/>
      <c r="B11" s="228">
        <v>46047.0</v>
      </c>
      <c r="C11" s="86" t="s">
        <v>625</v>
      </c>
      <c r="D11" s="86" t="s">
        <v>667</v>
      </c>
      <c r="E11" s="86" t="s">
        <v>669</v>
      </c>
      <c r="F11" s="222">
        <v>1.0</v>
      </c>
      <c r="G11" s="223">
        <v>2350.0</v>
      </c>
    </row>
    <row r="12" ht="18.75" customHeight="1">
      <c r="A12" s="86"/>
      <c r="B12" s="228">
        <v>46048.0</v>
      </c>
      <c r="C12" s="86" t="s">
        <v>658</v>
      </c>
      <c r="D12" s="86" t="s">
        <v>133</v>
      </c>
      <c r="E12" s="86" t="s">
        <v>134</v>
      </c>
      <c r="F12" s="222">
        <v>1.0</v>
      </c>
      <c r="G12" s="223">
        <v>1200.0</v>
      </c>
    </row>
    <row r="13" ht="18.75" customHeight="1">
      <c r="A13" s="86"/>
      <c r="B13" s="228">
        <v>46051.0</v>
      </c>
      <c r="C13" s="86" t="s">
        <v>658</v>
      </c>
      <c r="D13" s="86" t="s">
        <v>310</v>
      </c>
      <c r="E13" s="86" t="s">
        <v>93</v>
      </c>
      <c r="F13" s="222">
        <v>1.0</v>
      </c>
      <c r="G13" s="223">
        <v>1200.0</v>
      </c>
    </row>
    <row r="14" ht="18.75" customHeight="1">
      <c r="A14" s="86"/>
      <c r="B14" s="228">
        <v>46054.0</v>
      </c>
      <c r="C14" s="86" t="s">
        <v>593</v>
      </c>
      <c r="D14" s="86" t="s">
        <v>206</v>
      </c>
      <c r="E14" s="86" t="s">
        <v>57</v>
      </c>
      <c r="F14" s="222">
        <v>1.0</v>
      </c>
      <c r="G14" s="223">
        <v>5500.0</v>
      </c>
    </row>
    <row r="15" ht="18.75" customHeight="1">
      <c r="A15" s="86"/>
      <c r="B15" s="228">
        <v>46054.0</v>
      </c>
      <c r="C15" s="86" t="s">
        <v>409</v>
      </c>
      <c r="D15" s="86" t="s">
        <v>673</v>
      </c>
      <c r="E15" s="86" t="s">
        <v>147</v>
      </c>
      <c r="F15" s="222">
        <v>1.0</v>
      </c>
      <c r="G15" s="223">
        <v>6200.0</v>
      </c>
    </row>
    <row r="16" ht="18.75" customHeight="1">
      <c r="A16" s="86"/>
      <c r="B16" s="229">
        <v>46055.0</v>
      </c>
      <c r="C16" s="86" t="s">
        <v>463</v>
      </c>
      <c r="D16" s="135" t="s">
        <v>401</v>
      </c>
      <c r="E16" s="135" t="s">
        <v>54</v>
      </c>
      <c r="F16" s="234">
        <v>1.0</v>
      </c>
      <c r="G16" s="223">
        <v>7900.0</v>
      </c>
    </row>
    <row r="17" ht="18.75" customHeight="1">
      <c r="A17" s="86"/>
      <c r="B17" s="47"/>
      <c r="C17" s="86" t="s">
        <v>679</v>
      </c>
      <c r="D17" s="47"/>
      <c r="E17" s="47"/>
      <c r="F17" s="47"/>
      <c r="G17" s="223">
        <v>3700.0</v>
      </c>
    </row>
    <row r="18" ht="18.75" customHeight="1">
      <c r="A18" s="86"/>
      <c r="B18" s="228">
        <v>46055.0</v>
      </c>
      <c r="C18" s="86" t="s">
        <v>389</v>
      </c>
      <c r="D18" s="86" t="s">
        <v>529</v>
      </c>
      <c r="E18" s="86" t="s">
        <v>93</v>
      </c>
      <c r="F18" s="222">
        <v>1.0</v>
      </c>
      <c r="G18" s="223">
        <v>4950.0</v>
      </c>
    </row>
    <row r="19" ht="18.75" customHeight="1">
      <c r="A19" s="86"/>
      <c r="B19" s="228">
        <v>46060.0</v>
      </c>
      <c r="C19" s="86" t="s">
        <v>593</v>
      </c>
      <c r="D19" s="86" t="s">
        <v>683</v>
      </c>
      <c r="E19" s="86" t="s">
        <v>311</v>
      </c>
      <c r="F19" s="230">
        <v>1.0</v>
      </c>
      <c r="G19" s="223">
        <v>4950.0</v>
      </c>
    </row>
    <row r="20" ht="18.75" customHeight="1">
      <c r="A20" s="86"/>
      <c r="B20" s="228">
        <v>46060.0</v>
      </c>
      <c r="C20" s="86" t="s">
        <v>674</v>
      </c>
      <c r="D20" s="86" t="s">
        <v>687</v>
      </c>
      <c r="E20" s="86" t="s">
        <v>28</v>
      </c>
      <c r="F20" s="222">
        <v>1.0</v>
      </c>
      <c r="G20" s="223">
        <v>3700.0</v>
      </c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86"/>
      <c r="B29" s="228"/>
      <c r="C29" s="86"/>
      <c r="D29" s="86"/>
      <c r="E29" s="86"/>
      <c r="F29" s="222"/>
      <c r="G29" s="223"/>
    </row>
    <row r="30" ht="18.75" customHeight="1">
      <c r="A30" s="150"/>
      <c r="B30" s="205"/>
      <c r="C30" s="87"/>
      <c r="D30" s="74"/>
      <c r="E30" s="74"/>
      <c r="F30" s="75"/>
      <c r="G30" s="211"/>
    </row>
    <row r="31" ht="18.75" customHeight="1">
      <c r="A31" s="150"/>
      <c r="B31" s="205"/>
      <c r="C31" s="87"/>
      <c r="D31" s="74"/>
      <c r="E31" s="74"/>
      <c r="F31" s="75"/>
      <c r="G31" s="212">
        <f>SUM(G4:G29)</f>
        <v>68300</v>
      </c>
    </row>
    <row r="32" ht="18.75" customHeight="1">
      <c r="A32" s="150"/>
      <c r="B32" s="205"/>
      <c r="C32" s="87"/>
      <c r="D32" s="74"/>
      <c r="E32" s="74"/>
      <c r="F32" s="75"/>
      <c r="G32" s="20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5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73"/>
      <c r="C224" s="87"/>
      <c r="D224" s="74"/>
      <c r="E224" s="74"/>
      <c r="F224" s="72"/>
      <c r="G224" s="76"/>
    </row>
    <row r="225" ht="18.75" customHeight="1">
      <c r="A225" s="72"/>
      <c r="B225" s="59"/>
      <c r="C225" s="87"/>
      <c r="D225" s="74"/>
      <c r="E225" s="74"/>
      <c r="F225" s="72"/>
      <c r="G225" s="76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5.75" customHeight="1">
      <c r="B231" s="59"/>
    </row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2"/>
    <mergeCell ref="B16:B17"/>
    <mergeCell ref="D16:D17"/>
    <mergeCell ref="E16:E17"/>
    <mergeCell ref="F16:F17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648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>
        <v>1.0</v>
      </c>
      <c r="B4" s="228">
        <v>46062.0</v>
      </c>
      <c r="C4" s="86" t="s">
        <v>674</v>
      </c>
      <c r="D4" s="86" t="s">
        <v>675</v>
      </c>
      <c r="E4" s="86" t="s">
        <v>28</v>
      </c>
      <c r="F4" s="222">
        <v>1.0</v>
      </c>
      <c r="G4" s="223">
        <v>3780.0</v>
      </c>
    </row>
    <row r="5" ht="18.75" customHeight="1">
      <c r="A5" s="86">
        <v>2.0</v>
      </c>
      <c r="B5" s="228">
        <v>46065.0</v>
      </c>
      <c r="C5" s="86" t="s">
        <v>676</v>
      </c>
      <c r="D5" s="86" t="s">
        <v>265</v>
      </c>
      <c r="E5" s="86" t="s">
        <v>677</v>
      </c>
      <c r="F5" s="222">
        <v>1.0</v>
      </c>
      <c r="G5" s="223">
        <v>2000.0</v>
      </c>
    </row>
    <row r="6" ht="18.75" customHeight="1">
      <c r="A6" s="86"/>
      <c r="B6" s="228">
        <v>46066.0</v>
      </c>
      <c r="C6" s="86" t="s">
        <v>678</v>
      </c>
      <c r="D6" s="86" t="s">
        <v>223</v>
      </c>
      <c r="E6" s="86" t="s">
        <v>512</v>
      </c>
      <c r="F6" s="222">
        <v>1.0</v>
      </c>
      <c r="G6" s="223">
        <v>1200.0</v>
      </c>
    </row>
    <row r="7" ht="18.75" customHeight="1">
      <c r="A7" s="86"/>
      <c r="B7" s="228">
        <v>46069.0</v>
      </c>
      <c r="C7" s="86" t="s">
        <v>488</v>
      </c>
      <c r="D7" s="86"/>
      <c r="E7" s="86" t="s">
        <v>61</v>
      </c>
      <c r="F7" s="222">
        <v>1.0</v>
      </c>
      <c r="G7" s="223">
        <v>1800.0</v>
      </c>
    </row>
    <row r="8" ht="18.75" customHeight="1">
      <c r="A8" s="86"/>
      <c r="B8" s="228">
        <v>46071.0</v>
      </c>
      <c r="C8" s="86" t="s">
        <v>680</v>
      </c>
      <c r="D8" s="86" t="s">
        <v>681</v>
      </c>
      <c r="E8" s="86" t="s">
        <v>512</v>
      </c>
      <c r="F8" s="222">
        <v>1.0</v>
      </c>
      <c r="G8" s="223">
        <v>1200.0</v>
      </c>
    </row>
    <row r="9" ht="18.75" customHeight="1">
      <c r="A9" s="86"/>
      <c r="B9" s="228">
        <v>46078.0</v>
      </c>
      <c r="C9" s="86" t="s">
        <v>682</v>
      </c>
      <c r="D9" s="86" t="s">
        <v>265</v>
      </c>
      <c r="E9" s="86" t="s">
        <v>61</v>
      </c>
      <c r="F9" s="222">
        <v>1.0</v>
      </c>
      <c r="G9" s="223">
        <v>5500.0</v>
      </c>
    </row>
    <row r="10" ht="18.75" customHeight="1">
      <c r="A10" s="86"/>
      <c r="B10" s="228">
        <v>46086.0</v>
      </c>
      <c r="C10" s="86" t="s">
        <v>684</v>
      </c>
      <c r="D10" s="86" t="s">
        <v>685</v>
      </c>
      <c r="E10" s="86" t="s">
        <v>31</v>
      </c>
      <c r="F10" s="222">
        <v>1.0</v>
      </c>
      <c r="G10" s="223">
        <v>5500.0</v>
      </c>
    </row>
    <row r="11" ht="18.75" customHeight="1">
      <c r="A11" s="86"/>
      <c r="B11" s="228">
        <v>46089.0</v>
      </c>
      <c r="C11" s="86" t="s">
        <v>686</v>
      </c>
      <c r="D11" s="86" t="s">
        <v>529</v>
      </c>
      <c r="E11" s="86" t="s">
        <v>47</v>
      </c>
      <c r="F11" s="222">
        <v>1.0</v>
      </c>
      <c r="G11" s="223">
        <v>4200.0</v>
      </c>
    </row>
    <row r="12" ht="18.75" customHeight="1">
      <c r="A12" s="86"/>
      <c r="B12" s="228">
        <v>46075.0</v>
      </c>
      <c r="C12" s="86" t="s">
        <v>680</v>
      </c>
      <c r="D12" s="86" t="s">
        <v>71</v>
      </c>
      <c r="E12" s="86" t="s">
        <v>61</v>
      </c>
      <c r="F12" s="222">
        <v>1.0</v>
      </c>
      <c r="G12" s="223">
        <v>1200.0</v>
      </c>
    </row>
    <row r="13" ht="18.75" customHeight="1">
      <c r="A13" s="86"/>
      <c r="B13" s="228">
        <v>46079.0</v>
      </c>
      <c r="C13" s="86" t="s">
        <v>591</v>
      </c>
      <c r="D13" s="86">
        <v>225.96</v>
      </c>
      <c r="E13" s="86" t="s">
        <v>512</v>
      </c>
      <c r="F13" s="222">
        <v>1.0</v>
      </c>
      <c r="G13" s="223">
        <v>2500.0</v>
      </c>
    </row>
    <row r="14" ht="18.75" customHeight="1">
      <c r="A14" s="86"/>
      <c r="B14" s="228">
        <v>46084.0</v>
      </c>
      <c r="C14" s="86" t="s">
        <v>688</v>
      </c>
      <c r="D14" s="86" t="s">
        <v>521</v>
      </c>
      <c r="E14" s="86" t="s">
        <v>134</v>
      </c>
      <c r="F14" s="222">
        <v>1.0</v>
      </c>
      <c r="G14" s="223">
        <v>4950.0</v>
      </c>
    </row>
    <row r="15" ht="18.75" customHeight="1">
      <c r="A15" s="86"/>
      <c r="B15" s="228"/>
      <c r="C15" s="86"/>
      <c r="D15" s="86"/>
      <c r="E15" s="86"/>
      <c r="F15" s="222"/>
      <c r="G15" s="223"/>
    </row>
    <row r="16" ht="18.75" customHeight="1">
      <c r="A16" s="86"/>
      <c r="B16" s="228"/>
      <c r="C16" s="86"/>
      <c r="D16" s="86"/>
      <c r="E16" s="86"/>
      <c r="F16" s="222"/>
      <c r="G16" s="223"/>
    </row>
    <row r="17" ht="18.75" customHeight="1">
      <c r="A17" s="86"/>
      <c r="B17" s="228"/>
      <c r="C17" s="86"/>
      <c r="D17" s="86"/>
      <c r="E17" s="86"/>
      <c r="F17" s="222"/>
      <c r="G17" s="223"/>
    </row>
    <row r="18" ht="18.75" customHeight="1">
      <c r="A18" s="86"/>
      <c r="B18" s="228"/>
      <c r="C18" s="86"/>
      <c r="D18" s="86"/>
      <c r="E18" s="86"/>
      <c r="F18" s="230"/>
      <c r="G18" s="223"/>
    </row>
    <row r="19" ht="18.75" customHeight="1">
      <c r="A19" s="86"/>
      <c r="B19" s="228"/>
      <c r="C19" s="86"/>
      <c r="D19" s="86"/>
      <c r="E19" s="86"/>
      <c r="F19" s="222"/>
      <c r="G19" s="223"/>
    </row>
    <row r="20" ht="18.75" customHeight="1">
      <c r="A20" s="86"/>
      <c r="B20" s="228"/>
      <c r="C20" s="86"/>
      <c r="D20" s="86"/>
      <c r="E20" s="86"/>
      <c r="F20" s="222"/>
      <c r="G20" s="223"/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33830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648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/>
      <c r="B4" s="228">
        <v>46091.0</v>
      </c>
      <c r="C4" s="86" t="s">
        <v>593</v>
      </c>
      <c r="D4" s="86" t="s">
        <v>689</v>
      </c>
      <c r="E4" s="86" t="s">
        <v>577</v>
      </c>
      <c r="F4" s="222">
        <v>1.0</v>
      </c>
      <c r="G4" s="223">
        <v>4950.0</v>
      </c>
    </row>
    <row r="5" ht="18.75" customHeight="1">
      <c r="A5" s="86"/>
      <c r="B5" s="228">
        <v>46093.0</v>
      </c>
      <c r="C5" s="86" t="s">
        <v>389</v>
      </c>
      <c r="D5" s="86" t="s">
        <v>91</v>
      </c>
      <c r="E5" s="86" t="s">
        <v>499</v>
      </c>
      <c r="F5" s="222">
        <v>1.0</v>
      </c>
      <c r="G5" s="223">
        <v>4950.0</v>
      </c>
    </row>
    <row r="6" ht="18.75" customHeight="1">
      <c r="A6" s="86"/>
      <c r="B6" s="228">
        <v>46094.0</v>
      </c>
      <c r="C6" s="86" t="s">
        <v>658</v>
      </c>
      <c r="D6" s="86" t="s">
        <v>521</v>
      </c>
      <c r="E6" s="86" t="s">
        <v>512</v>
      </c>
      <c r="F6" s="222">
        <v>1.0</v>
      </c>
      <c r="G6" s="223">
        <v>1200.0</v>
      </c>
    </row>
    <row r="7" ht="18.75" customHeight="1">
      <c r="A7" s="86"/>
      <c r="B7" s="228">
        <v>46100.0</v>
      </c>
      <c r="C7" s="86" t="s">
        <v>593</v>
      </c>
      <c r="D7" s="86" t="s">
        <v>425</v>
      </c>
      <c r="E7" s="86" t="s">
        <v>624</v>
      </c>
      <c r="F7" s="222">
        <v>1.0</v>
      </c>
      <c r="G7" s="223">
        <v>5500.0</v>
      </c>
    </row>
    <row r="8" ht="18.75" customHeight="1">
      <c r="A8" s="86"/>
      <c r="B8" s="228">
        <v>46106.0</v>
      </c>
      <c r="C8" s="86" t="s">
        <v>690</v>
      </c>
      <c r="D8" s="86" t="s">
        <v>62</v>
      </c>
      <c r="E8" s="86" t="s">
        <v>28</v>
      </c>
      <c r="F8" s="222">
        <v>1.0</v>
      </c>
      <c r="G8" s="223">
        <f>4200-420</f>
        <v>3780</v>
      </c>
    </row>
    <row r="9" ht="18.75" customHeight="1">
      <c r="A9" s="86"/>
      <c r="B9" s="228">
        <v>46101.0</v>
      </c>
      <c r="C9" s="86" t="s">
        <v>691</v>
      </c>
      <c r="D9" s="86" t="s">
        <v>144</v>
      </c>
      <c r="E9" s="86" t="s">
        <v>66</v>
      </c>
      <c r="F9" s="222">
        <v>1.0</v>
      </c>
      <c r="G9" s="223">
        <v>2800.0</v>
      </c>
    </row>
    <row r="10" ht="18.75" customHeight="1">
      <c r="A10" s="86"/>
      <c r="B10" s="228">
        <v>46110.0</v>
      </c>
      <c r="C10" s="86" t="s">
        <v>658</v>
      </c>
      <c r="D10" s="86" t="s">
        <v>573</v>
      </c>
      <c r="E10" s="86" t="s">
        <v>512</v>
      </c>
      <c r="F10" s="222">
        <v>1.0</v>
      </c>
      <c r="G10" s="223">
        <v>1200.0</v>
      </c>
    </row>
    <row r="11" ht="18.75" customHeight="1">
      <c r="A11" s="86"/>
      <c r="B11" s="228">
        <v>46116.0</v>
      </c>
      <c r="C11" s="86" t="s">
        <v>472</v>
      </c>
      <c r="D11" s="86" t="s">
        <v>692</v>
      </c>
      <c r="E11" s="86" t="s">
        <v>66</v>
      </c>
      <c r="F11" s="222">
        <v>1.0</v>
      </c>
      <c r="G11" s="223">
        <v>1800.0</v>
      </c>
    </row>
    <row r="12" ht="18.75" customHeight="1">
      <c r="A12" s="86"/>
      <c r="B12" s="228">
        <v>46111.0</v>
      </c>
      <c r="C12" s="86" t="s">
        <v>593</v>
      </c>
      <c r="D12" s="86">
        <v>757.65</v>
      </c>
      <c r="E12" s="86" t="s">
        <v>574</v>
      </c>
      <c r="F12" s="222">
        <v>1.0</v>
      </c>
      <c r="G12" s="223">
        <v>5500.0</v>
      </c>
    </row>
    <row r="13" ht="18.75" customHeight="1">
      <c r="A13" s="86"/>
      <c r="B13" s="228">
        <v>46117.0</v>
      </c>
      <c r="C13" s="86" t="s">
        <v>593</v>
      </c>
      <c r="D13" s="86" t="s">
        <v>693</v>
      </c>
      <c r="E13" s="86" t="s">
        <v>254</v>
      </c>
      <c r="F13" s="222">
        <v>1.0</v>
      </c>
      <c r="G13" s="223">
        <v>5500.0</v>
      </c>
    </row>
    <row r="14" ht="18.75" customHeight="1">
      <c r="A14" s="86"/>
      <c r="B14" s="228"/>
      <c r="C14" s="86"/>
      <c r="D14" s="86"/>
      <c r="E14" s="86"/>
      <c r="F14" s="222"/>
      <c r="G14" s="223"/>
    </row>
    <row r="15" ht="18.75" customHeight="1">
      <c r="A15" s="86"/>
      <c r="B15" s="228"/>
      <c r="C15" s="86"/>
      <c r="D15" s="86"/>
      <c r="E15" s="86"/>
      <c r="F15" s="222"/>
      <c r="G15" s="223"/>
    </row>
    <row r="16" ht="18.75" customHeight="1">
      <c r="A16" s="86"/>
      <c r="B16" s="228"/>
      <c r="C16" s="86"/>
      <c r="D16" s="86"/>
      <c r="E16" s="86"/>
      <c r="F16" s="222"/>
      <c r="G16" s="223"/>
    </row>
    <row r="17" ht="18.75" customHeight="1">
      <c r="A17" s="86"/>
      <c r="B17" s="228"/>
      <c r="C17" s="86"/>
      <c r="D17" s="86"/>
      <c r="E17" s="86"/>
      <c r="F17" s="222"/>
      <c r="G17" s="223"/>
    </row>
    <row r="18" ht="18.75" customHeight="1">
      <c r="A18" s="86"/>
      <c r="B18" s="228"/>
      <c r="C18" s="86"/>
      <c r="D18" s="86"/>
      <c r="E18" s="86"/>
      <c r="F18" s="230"/>
      <c r="G18" s="223"/>
    </row>
    <row r="19" ht="18.75" customHeight="1">
      <c r="A19" s="86"/>
      <c r="B19" s="228"/>
      <c r="C19" s="86"/>
      <c r="D19" s="86"/>
      <c r="E19" s="86"/>
      <c r="F19" s="222"/>
      <c r="G19" s="223"/>
    </row>
    <row r="20" ht="18.75" customHeight="1">
      <c r="A20" s="86"/>
      <c r="B20" s="228"/>
      <c r="C20" s="86"/>
      <c r="D20" s="86"/>
      <c r="E20" s="86"/>
      <c r="F20" s="222"/>
      <c r="G20" s="223"/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37180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648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/>
      <c r="B4" s="228">
        <v>46121.0</v>
      </c>
      <c r="C4" s="86" t="s">
        <v>593</v>
      </c>
      <c r="D4" s="86" t="s">
        <v>36</v>
      </c>
      <c r="E4" s="86" t="s">
        <v>351</v>
      </c>
      <c r="F4" s="222">
        <v>1.0</v>
      </c>
      <c r="G4" s="223">
        <v>5500.0</v>
      </c>
    </row>
    <row r="5" ht="18.75" customHeight="1">
      <c r="A5" s="86"/>
      <c r="B5" s="228">
        <v>46121.0</v>
      </c>
      <c r="C5" s="86" t="s">
        <v>694</v>
      </c>
      <c r="D5" s="86" t="s">
        <v>91</v>
      </c>
      <c r="E5" s="86" t="s">
        <v>695</v>
      </c>
      <c r="F5" s="222">
        <v>1.0</v>
      </c>
      <c r="G5" s="223">
        <v>6000.0</v>
      </c>
    </row>
    <row r="6" ht="18.75" customHeight="1">
      <c r="A6" s="86"/>
      <c r="B6" s="228">
        <v>46125.0</v>
      </c>
      <c r="C6" s="86" t="s">
        <v>593</v>
      </c>
      <c r="D6" s="86" t="s">
        <v>244</v>
      </c>
      <c r="E6" s="86" t="s">
        <v>335</v>
      </c>
      <c r="F6" s="222">
        <v>1.0</v>
      </c>
      <c r="G6" s="223">
        <v>4950.0</v>
      </c>
    </row>
    <row r="7" ht="18.75" customHeight="1">
      <c r="A7" s="86"/>
      <c r="B7" s="228">
        <v>46127.0</v>
      </c>
      <c r="C7" s="86" t="s">
        <v>472</v>
      </c>
      <c r="D7" s="86" t="s">
        <v>144</v>
      </c>
      <c r="E7" s="86" t="s">
        <v>66</v>
      </c>
      <c r="F7" s="222">
        <v>1.0</v>
      </c>
      <c r="G7" s="223">
        <v>1800.0</v>
      </c>
    </row>
    <row r="8" ht="18.75" customHeight="1">
      <c r="A8" s="86"/>
      <c r="B8" s="228">
        <v>46132.0</v>
      </c>
      <c r="C8" s="86" t="s">
        <v>472</v>
      </c>
      <c r="D8" s="86" t="s">
        <v>696</v>
      </c>
      <c r="E8" s="86" t="s">
        <v>512</v>
      </c>
      <c r="F8" s="222">
        <v>1.0</v>
      </c>
      <c r="G8" s="223">
        <v>1800.0</v>
      </c>
    </row>
    <row r="9" ht="18.75" customHeight="1">
      <c r="A9" s="86"/>
      <c r="B9" s="228">
        <v>46132.0</v>
      </c>
      <c r="C9" s="86" t="s">
        <v>472</v>
      </c>
      <c r="D9" s="86" t="s">
        <v>697</v>
      </c>
      <c r="E9" s="86" t="s">
        <v>512</v>
      </c>
      <c r="F9" s="222">
        <v>1.0</v>
      </c>
      <c r="G9" s="223">
        <v>1800.0</v>
      </c>
    </row>
    <row r="10" ht="18.75" customHeight="1">
      <c r="A10" s="86"/>
      <c r="B10" s="228">
        <v>46133.0</v>
      </c>
      <c r="C10" s="86" t="s">
        <v>472</v>
      </c>
      <c r="D10" s="86" t="s">
        <v>621</v>
      </c>
      <c r="E10" s="86" t="s">
        <v>698</v>
      </c>
      <c r="F10" s="222">
        <v>1.0</v>
      </c>
      <c r="G10" s="223">
        <v>1800.0</v>
      </c>
    </row>
    <row r="11" ht="18.75" customHeight="1">
      <c r="A11" s="86"/>
      <c r="B11" s="228">
        <v>46135.0</v>
      </c>
      <c r="C11" s="86" t="s">
        <v>690</v>
      </c>
      <c r="D11" s="86" t="s">
        <v>36</v>
      </c>
      <c r="E11" s="86" t="s">
        <v>699</v>
      </c>
      <c r="F11" s="222">
        <v>1.0</v>
      </c>
      <c r="G11" s="223">
        <v>5500.0</v>
      </c>
    </row>
    <row r="12" ht="18.75" customHeight="1">
      <c r="A12" s="86"/>
      <c r="B12" s="228">
        <v>46135.0</v>
      </c>
      <c r="C12" s="86" t="s">
        <v>605</v>
      </c>
      <c r="D12" s="86" t="s">
        <v>700</v>
      </c>
      <c r="E12" s="86" t="s">
        <v>93</v>
      </c>
      <c r="F12" s="222">
        <v>1.0</v>
      </c>
      <c r="G12" s="223">
        <v>5050.0</v>
      </c>
    </row>
    <row r="13" ht="18.75" customHeight="1">
      <c r="A13" s="86"/>
      <c r="B13" s="228">
        <v>46122.0</v>
      </c>
      <c r="C13" s="86" t="s">
        <v>674</v>
      </c>
      <c r="D13" s="86" t="s">
        <v>214</v>
      </c>
      <c r="E13" s="86" t="s">
        <v>311</v>
      </c>
      <c r="F13" s="222">
        <v>1.0</v>
      </c>
      <c r="G13" s="223">
        <v>5500.0</v>
      </c>
    </row>
    <row r="14" ht="18.75" customHeight="1">
      <c r="A14" s="86"/>
      <c r="B14" s="228">
        <v>46122.0</v>
      </c>
      <c r="C14" s="86" t="s">
        <v>389</v>
      </c>
      <c r="D14" s="86" t="s">
        <v>87</v>
      </c>
      <c r="E14" s="86" t="s">
        <v>47</v>
      </c>
      <c r="F14" s="222">
        <v>1.0</v>
      </c>
      <c r="G14" s="223">
        <v>5500.0</v>
      </c>
    </row>
    <row r="15" ht="18.75" customHeight="1">
      <c r="A15" s="86"/>
      <c r="B15" s="228">
        <v>46128.0</v>
      </c>
      <c r="C15" s="86" t="s">
        <v>472</v>
      </c>
      <c r="D15" s="86" t="s">
        <v>113</v>
      </c>
      <c r="E15" s="86" t="s">
        <v>512</v>
      </c>
      <c r="F15" s="222">
        <v>1.0</v>
      </c>
      <c r="G15" s="223">
        <v>1800.0</v>
      </c>
    </row>
    <row r="16" ht="18.75" customHeight="1">
      <c r="A16" s="86"/>
      <c r="B16" s="228">
        <v>46144.0</v>
      </c>
      <c r="C16" s="86" t="s">
        <v>472</v>
      </c>
      <c r="D16" s="86">
        <v>502.78</v>
      </c>
      <c r="E16" s="86" t="s">
        <v>512</v>
      </c>
      <c r="F16" s="222">
        <v>1.0</v>
      </c>
      <c r="G16" s="223">
        <v>1800.0</v>
      </c>
    </row>
    <row r="17" ht="18.75" customHeight="1">
      <c r="A17" s="86"/>
      <c r="B17" s="228">
        <v>46145.0</v>
      </c>
      <c r="C17" s="86" t="s">
        <v>472</v>
      </c>
      <c r="D17" s="86">
        <v>970.57</v>
      </c>
      <c r="E17" s="86" t="s">
        <v>622</v>
      </c>
      <c r="F17" s="222">
        <v>1.0</v>
      </c>
      <c r="G17" s="223">
        <v>2000.0</v>
      </c>
    </row>
    <row r="18" ht="18.75" customHeight="1">
      <c r="A18" s="86"/>
      <c r="B18" s="228">
        <v>46150.0</v>
      </c>
      <c r="C18" s="86" t="s">
        <v>593</v>
      </c>
      <c r="D18" s="86" t="s">
        <v>215</v>
      </c>
      <c r="E18" s="86" t="s">
        <v>701</v>
      </c>
      <c r="F18" s="230">
        <v>1.0</v>
      </c>
      <c r="G18" s="223">
        <v>5500.0</v>
      </c>
    </row>
    <row r="19" ht="18.75" customHeight="1">
      <c r="A19" s="86"/>
      <c r="B19" s="228"/>
      <c r="C19" s="86"/>
      <c r="D19" s="86"/>
      <c r="E19" s="86"/>
      <c r="F19" s="222"/>
      <c r="G19" s="223"/>
    </row>
    <row r="20" ht="18.75" customHeight="1">
      <c r="A20" s="86"/>
      <c r="B20" s="228"/>
      <c r="C20" s="86"/>
      <c r="D20" s="86"/>
      <c r="E20" s="86"/>
      <c r="F20" s="222"/>
      <c r="G20" s="223"/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56300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648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/>
      <c r="B4" s="228">
        <v>46151.0</v>
      </c>
      <c r="C4" s="86" t="s">
        <v>472</v>
      </c>
      <c r="D4" s="86" t="s">
        <v>703</v>
      </c>
      <c r="E4" s="86" t="s">
        <v>512</v>
      </c>
      <c r="F4" s="222">
        <v>1.0</v>
      </c>
      <c r="G4" s="223">
        <v>1800.0</v>
      </c>
    </row>
    <row r="5" ht="18.75" customHeight="1">
      <c r="A5" s="86"/>
      <c r="B5" s="228">
        <v>46152.0</v>
      </c>
      <c r="C5" s="86" t="s">
        <v>478</v>
      </c>
      <c r="D5" s="86" t="s">
        <v>704</v>
      </c>
      <c r="E5" s="86" t="s">
        <v>93</v>
      </c>
      <c r="F5" s="222">
        <v>1.0</v>
      </c>
      <c r="G5" s="223">
        <v>5500.0</v>
      </c>
    </row>
    <row r="6" ht="18.75" customHeight="1">
      <c r="A6" s="86"/>
      <c r="B6" s="228">
        <v>46153.0</v>
      </c>
      <c r="C6" s="86" t="s">
        <v>389</v>
      </c>
      <c r="D6" s="86" t="s">
        <v>705</v>
      </c>
      <c r="E6" s="86" t="s">
        <v>554</v>
      </c>
      <c r="F6" s="222">
        <v>1.0</v>
      </c>
      <c r="G6" s="223">
        <v>6000.0</v>
      </c>
    </row>
    <row r="7" ht="18.75" customHeight="1">
      <c r="A7" s="86"/>
      <c r="B7" s="228">
        <v>46154.0</v>
      </c>
      <c r="C7" s="86" t="s">
        <v>389</v>
      </c>
      <c r="D7" s="86" t="s">
        <v>707</v>
      </c>
      <c r="E7" s="86" t="s">
        <v>147</v>
      </c>
      <c r="F7" s="222">
        <v>1.0</v>
      </c>
      <c r="G7" s="223">
        <v>6000.0</v>
      </c>
    </row>
    <row r="8" ht="18.75" customHeight="1">
      <c r="A8" s="86"/>
      <c r="B8" s="228">
        <v>46155.0</v>
      </c>
      <c r="C8" s="86" t="s">
        <v>363</v>
      </c>
      <c r="D8" s="86" t="s">
        <v>88</v>
      </c>
      <c r="E8" s="86" t="s">
        <v>168</v>
      </c>
      <c r="F8" s="222">
        <v>1.0</v>
      </c>
      <c r="G8" s="223">
        <v>5850.0</v>
      </c>
      <c r="J8" s="227">
        <f>6500-650</f>
        <v>5850</v>
      </c>
    </row>
    <row r="9" ht="18.75" customHeight="1">
      <c r="A9" s="86"/>
      <c r="B9" s="228">
        <v>46158.0</v>
      </c>
      <c r="C9" s="140">
        <v>301.0</v>
      </c>
      <c r="D9" s="86" t="s">
        <v>149</v>
      </c>
      <c r="E9" s="86" t="s">
        <v>93</v>
      </c>
      <c r="F9" s="222">
        <v>1.0</v>
      </c>
      <c r="G9" s="223">
        <v>4500.0</v>
      </c>
    </row>
    <row r="10" ht="18.75" customHeight="1">
      <c r="A10" s="86"/>
      <c r="B10" s="228">
        <v>46162.0</v>
      </c>
      <c r="C10" s="86" t="s">
        <v>605</v>
      </c>
      <c r="D10" s="86" t="s">
        <v>320</v>
      </c>
      <c r="E10" s="86" t="s">
        <v>713</v>
      </c>
      <c r="F10" s="222">
        <v>1.0</v>
      </c>
      <c r="G10" s="223">
        <v>5500.0</v>
      </c>
    </row>
    <row r="11" ht="18.75" customHeight="1">
      <c r="A11" s="86"/>
      <c r="B11" s="228">
        <v>46165.0</v>
      </c>
      <c r="C11" s="86" t="s">
        <v>708</v>
      </c>
      <c r="D11" s="86">
        <v>82.42</v>
      </c>
      <c r="E11" s="86" t="s">
        <v>473</v>
      </c>
      <c r="F11" s="222">
        <v>1.0</v>
      </c>
      <c r="G11" s="223">
        <v>1800.0</v>
      </c>
    </row>
    <row r="12" ht="18.75" customHeight="1">
      <c r="A12" s="86"/>
      <c r="B12" s="228">
        <v>46166.0</v>
      </c>
      <c r="C12" s="86" t="s">
        <v>590</v>
      </c>
      <c r="D12" s="86">
        <v>421.23</v>
      </c>
      <c r="E12" s="86" t="s">
        <v>93</v>
      </c>
      <c r="F12" s="222">
        <v>1.0</v>
      </c>
      <c r="G12" s="223">
        <v>4200.0</v>
      </c>
    </row>
    <row r="13" ht="18.75" customHeight="1">
      <c r="A13" s="86"/>
      <c r="B13" s="228">
        <v>46167.0</v>
      </c>
      <c r="C13" s="86" t="s">
        <v>670</v>
      </c>
      <c r="D13" s="86" t="s">
        <v>714</v>
      </c>
      <c r="E13" s="86" t="s">
        <v>715</v>
      </c>
      <c r="F13" s="222">
        <v>1.0</v>
      </c>
      <c r="G13" s="223">
        <v>5500.0</v>
      </c>
    </row>
    <row r="14" ht="18.75" customHeight="1">
      <c r="A14" s="86"/>
      <c r="B14" s="228">
        <v>46171.0</v>
      </c>
      <c r="C14" s="86" t="s">
        <v>670</v>
      </c>
      <c r="D14" s="86" t="s">
        <v>507</v>
      </c>
      <c r="E14" s="86" t="s">
        <v>93</v>
      </c>
      <c r="F14" s="222">
        <v>1.0</v>
      </c>
      <c r="G14" s="223">
        <v>5500.0</v>
      </c>
    </row>
    <row r="15" ht="18.75" customHeight="1">
      <c r="A15" s="86"/>
      <c r="B15" s="228">
        <v>46171.0</v>
      </c>
      <c r="C15" s="86" t="s">
        <v>472</v>
      </c>
      <c r="D15" s="86" t="s">
        <v>72</v>
      </c>
      <c r="E15" s="86" t="s">
        <v>716</v>
      </c>
      <c r="F15" s="222">
        <v>1.0</v>
      </c>
      <c r="G15" s="223">
        <v>1800.0</v>
      </c>
    </row>
    <row r="16" ht="18.75" customHeight="1">
      <c r="A16" s="86"/>
      <c r="B16" s="228">
        <v>46174.0</v>
      </c>
      <c r="C16" s="86" t="s">
        <v>389</v>
      </c>
      <c r="D16" s="86" t="s">
        <v>94</v>
      </c>
      <c r="E16" s="86" t="s">
        <v>718</v>
      </c>
      <c r="F16" s="222">
        <v>1.0</v>
      </c>
      <c r="G16" s="223">
        <v>5100.0</v>
      </c>
      <c r="I16" s="227">
        <f>6000-900</f>
        <v>5100</v>
      </c>
    </row>
    <row r="17" ht="18.75" customHeight="1">
      <c r="A17" s="86"/>
      <c r="B17" s="228">
        <v>46174.0</v>
      </c>
      <c r="C17" s="86" t="s">
        <v>670</v>
      </c>
      <c r="D17" s="86" t="s">
        <v>720</v>
      </c>
      <c r="E17" s="86" t="s">
        <v>721</v>
      </c>
      <c r="F17" s="222">
        <v>1.0</v>
      </c>
      <c r="G17" s="223">
        <v>4950.0</v>
      </c>
    </row>
    <row r="18" ht="18.75" customHeight="1">
      <c r="A18" s="86"/>
      <c r="B18" s="228">
        <v>46176.0</v>
      </c>
      <c r="C18" s="86" t="s">
        <v>723</v>
      </c>
      <c r="D18" s="86" t="s">
        <v>724</v>
      </c>
      <c r="E18" s="86" t="s">
        <v>725</v>
      </c>
      <c r="F18" s="230">
        <v>1.0</v>
      </c>
      <c r="G18" s="223">
        <v>6500.0</v>
      </c>
    </row>
    <row r="19" ht="18.75" customHeight="1">
      <c r="A19" s="86"/>
      <c r="B19" s="228">
        <v>46178.0</v>
      </c>
      <c r="C19" s="86" t="s">
        <v>723</v>
      </c>
      <c r="D19" s="86" t="s">
        <v>586</v>
      </c>
      <c r="E19" s="86" t="s">
        <v>47</v>
      </c>
      <c r="F19" s="222">
        <v>1.0</v>
      </c>
      <c r="G19" s="223">
        <v>6500.0</v>
      </c>
    </row>
    <row r="20" ht="18.75" customHeight="1">
      <c r="A20" s="86"/>
      <c r="B20" s="228">
        <v>46153.0</v>
      </c>
      <c r="C20" s="86" t="s">
        <v>708</v>
      </c>
      <c r="D20" s="86" t="s">
        <v>81</v>
      </c>
      <c r="E20" s="86" t="s">
        <v>23</v>
      </c>
      <c r="F20" s="222">
        <v>1.0</v>
      </c>
      <c r="G20" s="223">
        <v>1800.0</v>
      </c>
    </row>
    <row r="21" ht="18.75" customHeight="1">
      <c r="A21" s="86"/>
      <c r="B21" s="228">
        <v>46157.0</v>
      </c>
      <c r="C21" s="86" t="s">
        <v>708</v>
      </c>
      <c r="D21" s="86" t="s">
        <v>100</v>
      </c>
      <c r="E21" s="86" t="s">
        <v>512</v>
      </c>
      <c r="F21" s="222">
        <v>1.0</v>
      </c>
      <c r="G21" s="223">
        <v>1800.0</v>
      </c>
    </row>
    <row r="22" ht="18.75" customHeight="1">
      <c r="A22" s="86"/>
      <c r="B22" s="228">
        <v>46157.0</v>
      </c>
      <c r="C22" s="86" t="s">
        <v>708</v>
      </c>
      <c r="D22" s="86" t="s">
        <v>77</v>
      </c>
      <c r="E22" s="86" t="s">
        <v>512</v>
      </c>
      <c r="F22" s="222">
        <v>1.0</v>
      </c>
      <c r="G22" s="223">
        <v>1800.0</v>
      </c>
    </row>
    <row r="23" ht="18.75" customHeight="1">
      <c r="A23" s="86"/>
      <c r="B23" s="228">
        <v>46171.0</v>
      </c>
      <c r="C23" s="86" t="s">
        <v>708</v>
      </c>
      <c r="D23" s="86" t="s">
        <v>728</v>
      </c>
      <c r="E23" s="86" t="s">
        <v>473</v>
      </c>
      <c r="F23" s="222">
        <v>1.0</v>
      </c>
      <c r="G23" s="223">
        <v>1800.0</v>
      </c>
    </row>
    <row r="24" ht="18.75" customHeight="1">
      <c r="A24" s="86"/>
      <c r="B24" s="228">
        <v>46174.0</v>
      </c>
      <c r="C24" s="86" t="s">
        <v>729</v>
      </c>
      <c r="D24" s="86" t="s">
        <v>94</v>
      </c>
      <c r="E24" s="86" t="s">
        <v>718</v>
      </c>
      <c r="F24" s="222">
        <v>1.0</v>
      </c>
      <c r="G24" s="223">
        <v>1700.0</v>
      </c>
      <c r="J24" s="227">
        <f>2000*15/100</f>
        <v>300</v>
      </c>
    </row>
    <row r="25" ht="18.75" customHeight="1">
      <c r="A25" s="86"/>
      <c r="B25" s="228">
        <v>46150.0</v>
      </c>
      <c r="C25" s="86" t="s">
        <v>708</v>
      </c>
      <c r="D25" s="86" t="s">
        <v>731</v>
      </c>
      <c r="E25" s="86" t="s">
        <v>201</v>
      </c>
      <c r="F25" s="222">
        <v>1.0</v>
      </c>
      <c r="G25" s="223">
        <v>1800.0</v>
      </c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150"/>
      <c r="B27" s="205"/>
      <c r="C27" s="87"/>
      <c r="D27" s="74"/>
      <c r="E27" s="74"/>
      <c r="F27" s="75"/>
      <c r="G27" s="211"/>
    </row>
    <row r="28" ht="18.75" customHeight="1">
      <c r="A28" s="150"/>
      <c r="B28" s="205"/>
      <c r="C28" s="87"/>
      <c r="D28" s="74"/>
      <c r="E28" s="74"/>
      <c r="F28" s="75"/>
      <c r="G28" s="212">
        <f>SUM(G4:G26)</f>
        <v>87700</v>
      </c>
    </row>
    <row r="29" ht="18.75" customHeight="1">
      <c r="A29" s="150"/>
      <c r="B29" s="205"/>
      <c r="C29" s="87"/>
      <c r="D29" s="74"/>
      <c r="E29" s="74"/>
      <c r="F29" s="75"/>
      <c r="G29" s="206"/>
    </row>
    <row r="30" ht="18.75" customHeight="1">
      <c r="A30" s="72"/>
      <c r="B30" s="73"/>
      <c r="C30" s="87"/>
      <c r="D30" s="74"/>
      <c r="E30" s="74"/>
      <c r="F30" s="75"/>
      <c r="G30" s="76"/>
    </row>
    <row r="31" ht="18.75" customHeight="1">
      <c r="A31" s="72"/>
      <c r="B31" s="73"/>
      <c r="C31" s="87"/>
      <c r="D31" s="74"/>
      <c r="E31" s="74"/>
      <c r="F31" s="75"/>
      <c r="G31" s="7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2"/>
      <c r="G36" s="76"/>
    </row>
    <row r="37" ht="18.75" customHeight="1">
      <c r="A37" s="72"/>
      <c r="B37" s="73"/>
      <c r="C37" s="87"/>
      <c r="D37" s="74"/>
      <c r="E37" s="74"/>
      <c r="F37" s="72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59"/>
      <c r="C222" s="87"/>
      <c r="D222" s="74"/>
      <c r="E222" s="74"/>
      <c r="F222" s="72"/>
      <c r="G222" s="76"/>
    </row>
    <row r="223" ht="15.75" customHeight="1">
      <c r="B223" s="59"/>
    </row>
    <row r="224" ht="15.75" customHeight="1">
      <c r="B224" s="59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702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0" customHeight="1">
      <c r="A4" s="86"/>
      <c r="B4" s="228">
        <v>46183.0</v>
      </c>
      <c r="C4" s="86" t="s">
        <v>706</v>
      </c>
      <c r="D4" s="86" t="s">
        <v>437</v>
      </c>
      <c r="E4" s="86" t="s">
        <v>512</v>
      </c>
      <c r="F4" s="222">
        <v>1.0</v>
      </c>
      <c r="G4" s="223">
        <v>1800.0</v>
      </c>
    </row>
    <row r="5" ht="18.0" customHeight="1">
      <c r="A5" s="86"/>
      <c r="B5" s="228">
        <v>46184.0</v>
      </c>
      <c r="C5" s="86" t="s">
        <v>708</v>
      </c>
      <c r="D5" s="86" t="s">
        <v>50</v>
      </c>
      <c r="E5" s="86" t="s">
        <v>512</v>
      </c>
      <c r="F5" s="222">
        <v>1.0</v>
      </c>
      <c r="G5" s="223">
        <v>1800.0</v>
      </c>
    </row>
    <row r="6" ht="18.75" customHeight="1">
      <c r="A6" s="86"/>
      <c r="B6" s="228">
        <v>46190.0</v>
      </c>
      <c r="C6" s="86" t="s">
        <v>605</v>
      </c>
      <c r="D6" s="86" t="s">
        <v>597</v>
      </c>
      <c r="E6" s="86" t="s">
        <v>709</v>
      </c>
      <c r="F6" s="222">
        <v>1.0</v>
      </c>
      <c r="G6" s="223">
        <v>5500.0</v>
      </c>
    </row>
    <row r="7" ht="18.75" customHeight="1">
      <c r="A7" s="86"/>
      <c r="B7" s="228">
        <v>46191.0</v>
      </c>
      <c r="C7" s="86" t="s">
        <v>605</v>
      </c>
      <c r="D7" s="86" t="s">
        <v>710</v>
      </c>
      <c r="E7" s="86" t="s">
        <v>711</v>
      </c>
      <c r="F7" s="222">
        <v>1.0</v>
      </c>
      <c r="G7" s="223">
        <v>5500.0</v>
      </c>
    </row>
    <row r="8" ht="18.75" customHeight="1">
      <c r="A8" s="86"/>
      <c r="B8" s="228">
        <v>46191.0</v>
      </c>
      <c r="C8" s="86" t="s">
        <v>712</v>
      </c>
      <c r="D8" s="86" t="s">
        <v>412</v>
      </c>
      <c r="E8" s="86" t="s">
        <v>150</v>
      </c>
      <c r="F8" s="222">
        <v>1.0</v>
      </c>
      <c r="G8" s="223">
        <v>6500.0</v>
      </c>
    </row>
    <row r="9" ht="18.75" customHeight="1">
      <c r="A9" s="86"/>
      <c r="B9" s="228">
        <v>46194.0</v>
      </c>
      <c r="C9" s="86" t="s">
        <v>706</v>
      </c>
      <c r="D9" s="86" t="s">
        <v>164</v>
      </c>
      <c r="E9" s="86" t="s">
        <v>23</v>
      </c>
      <c r="F9" s="222">
        <v>1.0</v>
      </c>
      <c r="G9" s="223">
        <v>2200.0</v>
      </c>
    </row>
    <row r="10" ht="18.75" customHeight="1">
      <c r="A10" s="86"/>
      <c r="B10" s="228">
        <v>46195.0</v>
      </c>
      <c r="C10" s="86" t="s">
        <v>605</v>
      </c>
      <c r="D10" s="86" t="s">
        <v>645</v>
      </c>
      <c r="E10" s="86" t="s">
        <v>61</v>
      </c>
      <c r="F10" s="222">
        <v>1.0</v>
      </c>
      <c r="G10" s="223">
        <v>4950.0</v>
      </c>
    </row>
    <row r="11" ht="18.75" customHeight="1">
      <c r="A11" s="86"/>
      <c r="B11" s="228">
        <v>46196.0</v>
      </c>
      <c r="C11" s="86" t="s">
        <v>712</v>
      </c>
      <c r="D11" s="86" t="s">
        <v>73</v>
      </c>
      <c r="E11" s="86" t="s">
        <v>106</v>
      </c>
      <c r="F11" s="222">
        <v>1.0</v>
      </c>
      <c r="G11" s="235">
        <v>5850.0</v>
      </c>
    </row>
    <row r="12" ht="18.75" customHeight="1">
      <c r="A12" s="86"/>
      <c r="B12" s="228">
        <v>46196.0</v>
      </c>
      <c r="C12" s="86" t="s">
        <v>605</v>
      </c>
      <c r="D12" s="86" t="s">
        <v>341</v>
      </c>
      <c r="E12" s="86" t="s">
        <v>156</v>
      </c>
      <c r="F12" s="222">
        <v>1.0</v>
      </c>
      <c r="G12" s="223">
        <v>6000.0</v>
      </c>
    </row>
    <row r="13" ht="18.75" customHeight="1">
      <c r="A13" s="86"/>
      <c r="B13" s="228">
        <v>46200.0</v>
      </c>
      <c r="C13" s="86" t="s">
        <v>717</v>
      </c>
      <c r="D13" s="86" t="s">
        <v>74</v>
      </c>
      <c r="E13" s="86" t="s">
        <v>31</v>
      </c>
      <c r="F13" s="222">
        <v>1.0</v>
      </c>
      <c r="G13" s="223">
        <v>3950.0</v>
      </c>
    </row>
    <row r="14" ht="18.75" customHeight="1">
      <c r="A14" s="86"/>
      <c r="B14" s="228">
        <v>46200.0</v>
      </c>
      <c r="C14" s="86" t="s">
        <v>706</v>
      </c>
      <c r="D14" s="86" t="s">
        <v>320</v>
      </c>
      <c r="E14" s="86" t="s">
        <v>719</v>
      </c>
      <c r="F14" s="222">
        <v>1.0</v>
      </c>
      <c r="G14" s="223">
        <v>2000.0</v>
      </c>
    </row>
    <row r="15" ht="18.75" customHeight="1">
      <c r="A15" s="86"/>
      <c r="B15" s="228">
        <v>46206.0</v>
      </c>
      <c r="C15" s="86" t="s">
        <v>605</v>
      </c>
      <c r="D15" s="86" t="s">
        <v>72</v>
      </c>
      <c r="E15" s="86" t="s">
        <v>722</v>
      </c>
      <c r="F15" s="222">
        <v>1.0</v>
      </c>
      <c r="G15" s="223">
        <v>5500.0</v>
      </c>
    </row>
    <row r="16" ht="18.75" customHeight="1">
      <c r="A16" s="86"/>
      <c r="B16" s="228">
        <v>46207.0</v>
      </c>
      <c r="C16" s="86" t="s">
        <v>717</v>
      </c>
      <c r="D16" s="86" t="s">
        <v>675</v>
      </c>
      <c r="E16" s="86" t="s">
        <v>102</v>
      </c>
      <c r="F16" s="222">
        <v>1.0</v>
      </c>
      <c r="G16" s="223">
        <v>4500.0</v>
      </c>
    </row>
    <row r="17" ht="18.75" customHeight="1">
      <c r="A17" s="86"/>
      <c r="B17" s="228">
        <v>46208.0</v>
      </c>
      <c r="C17" s="86" t="s">
        <v>461</v>
      </c>
      <c r="D17" s="86" t="s">
        <v>721</v>
      </c>
      <c r="E17" s="86"/>
      <c r="F17" s="222">
        <v>1.0</v>
      </c>
      <c r="G17" s="223">
        <v>2500.0</v>
      </c>
    </row>
    <row r="18" ht="18.75" customHeight="1">
      <c r="A18" s="86"/>
      <c r="B18" s="228">
        <v>46208.0</v>
      </c>
      <c r="C18" s="86" t="s">
        <v>708</v>
      </c>
      <c r="D18" s="86" t="s">
        <v>354</v>
      </c>
      <c r="E18" s="86" t="s">
        <v>134</v>
      </c>
      <c r="F18" s="222">
        <v>1.0</v>
      </c>
      <c r="G18" s="223">
        <v>2000.0</v>
      </c>
    </row>
    <row r="19" ht="18.75" customHeight="1">
      <c r="A19" s="86"/>
      <c r="B19" s="228">
        <v>46209.0</v>
      </c>
      <c r="C19" s="86" t="s">
        <v>726</v>
      </c>
      <c r="D19" s="86" t="s">
        <v>727</v>
      </c>
      <c r="E19" s="86" t="s">
        <v>512</v>
      </c>
      <c r="F19" s="222">
        <v>1.0</v>
      </c>
      <c r="G19" s="223">
        <v>1500.0</v>
      </c>
    </row>
    <row r="20" ht="18.75" customHeight="1">
      <c r="A20" s="86"/>
      <c r="B20" s="228">
        <v>46209.0</v>
      </c>
      <c r="C20" s="86" t="s">
        <v>726</v>
      </c>
      <c r="D20" s="86" t="s">
        <v>446</v>
      </c>
      <c r="E20" s="86" t="s">
        <v>512</v>
      </c>
      <c r="F20" s="230">
        <v>1.0</v>
      </c>
      <c r="G20" s="223">
        <v>1500.0</v>
      </c>
    </row>
    <row r="21" ht="18.75" customHeight="1">
      <c r="A21" s="86"/>
      <c r="B21" s="228">
        <v>46211.0</v>
      </c>
      <c r="C21" s="86" t="s">
        <v>605</v>
      </c>
      <c r="D21" s="86" t="s">
        <v>470</v>
      </c>
      <c r="E21" s="86" t="s">
        <v>730</v>
      </c>
      <c r="F21" s="222">
        <v>1.0</v>
      </c>
      <c r="G21" s="223">
        <v>5500.0</v>
      </c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86"/>
      <c r="B29" s="228"/>
      <c r="C29" s="86"/>
      <c r="D29" s="86"/>
      <c r="E29" s="86"/>
      <c r="F29" s="222"/>
      <c r="G29" s="223"/>
    </row>
    <row r="30" ht="18.75" customHeight="1">
      <c r="A30" s="86"/>
      <c r="B30" s="228"/>
      <c r="C30" s="86"/>
      <c r="D30" s="86"/>
      <c r="E30" s="86"/>
      <c r="F30" s="222"/>
      <c r="G30" s="223"/>
    </row>
    <row r="31" ht="18.75" customHeight="1">
      <c r="A31" s="150"/>
      <c r="B31" s="205"/>
      <c r="C31" s="87"/>
      <c r="D31" s="74"/>
      <c r="E31" s="74"/>
      <c r="F31" s="75"/>
      <c r="G31" s="211"/>
    </row>
    <row r="32" ht="18.75" customHeight="1">
      <c r="A32" s="150"/>
      <c r="B32" s="205"/>
      <c r="C32" s="87"/>
      <c r="D32" s="74"/>
      <c r="E32" s="74"/>
      <c r="F32" s="75"/>
      <c r="G32" s="212">
        <f>SUM(G4:G30)</f>
        <v>69050</v>
      </c>
    </row>
    <row r="33" ht="18.75" customHeight="1">
      <c r="A33" s="150"/>
      <c r="B33" s="205"/>
      <c r="C33" s="87"/>
      <c r="D33" s="74"/>
      <c r="E33" s="74"/>
      <c r="F33" s="75"/>
      <c r="G33" s="20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5"/>
      <c r="G38" s="76"/>
    </row>
    <row r="39" ht="18.75" customHeight="1">
      <c r="A39" s="72"/>
      <c r="B39" s="73"/>
      <c r="C39" s="87"/>
      <c r="D39" s="74"/>
      <c r="E39" s="74"/>
      <c r="F39" s="75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73"/>
      <c r="C224" s="87"/>
      <c r="D224" s="74"/>
      <c r="E224" s="74"/>
      <c r="F224" s="72"/>
      <c r="G224" s="76"/>
    </row>
    <row r="225" ht="18.75" customHeight="1">
      <c r="A225" s="72"/>
      <c r="B225" s="73"/>
      <c r="C225" s="87"/>
      <c r="D225" s="74"/>
      <c r="E225" s="74"/>
      <c r="F225" s="72"/>
      <c r="G225" s="76"/>
    </row>
    <row r="226" ht="18.75" customHeight="1">
      <c r="A226" s="72"/>
      <c r="B226" s="59"/>
      <c r="C226" s="87"/>
      <c r="D226" s="74"/>
      <c r="E226" s="74"/>
      <c r="F226" s="72"/>
      <c r="G226" s="76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5.75" customHeight="1">
      <c r="B231" s="59"/>
    </row>
    <row r="232" ht="15.75" customHeight="1">
      <c r="B232" s="59"/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732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/>
      <c r="B4" s="228">
        <v>46212.0</v>
      </c>
      <c r="C4" s="86" t="s">
        <v>605</v>
      </c>
      <c r="D4" s="86" t="s">
        <v>164</v>
      </c>
      <c r="E4" s="86" t="s">
        <v>250</v>
      </c>
      <c r="F4" s="222">
        <v>1.0</v>
      </c>
      <c r="G4" s="223">
        <v>4950.0</v>
      </c>
    </row>
    <row r="5" ht="18.75" customHeight="1">
      <c r="A5" s="86"/>
      <c r="B5" s="228">
        <v>46212.0</v>
      </c>
      <c r="C5" s="86" t="s">
        <v>712</v>
      </c>
      <c r="D5" s="86" t="s">
        <v>100</v>
      </c>
      <c r="E5" s="86" t="s">
        <v>221</v>
      </c>
      <c r="F5" s="222">
        <v>1.0</v>
      </c>
      <c r="G5" s="223">
        <v>6500.0</v>
      </c>
    </row>
    <row r="6" ht="18.75" customHeight="1">
      <c r="A6" s="86"/>
      <c r="B6" s="228">
        <v>46213.0</v>
      </c>
      <c r="C6" s="86" t="s">
        <v>478</v>
      </c>
      <c r="D6" s="86" t="s">
        <v>354</v>
      </c>
      <c r="E6" s="86" t="s">
        <v>134</v>
      </c>
      <c r="F6" s="222">
        <v>1.0</v>
      </c>
      <c r="G6" s="223">
        <v>5500.0</v>
      </c>
    </row>
    <row r="7" ht="18.75" customHeight="1">
      <c r="A7" s="86"/>
      <c r="B7" s="228">
        <v>46214.0</v>
      </c>
      <c r="C7" s="86" t="s">
        <v>708</v>
      </c>
      <c r="D7" s="86" t="s">
        <v>149</v>
      </c>
      <c r="E7" s="86" t="s">
        <v>28</v>
      </c>
      <c r="F7" s="222">
        <v>1.0</v>
      </c>
      <c r="G7" s="223">
        <v>2000.0</v>
      </c>
    </row>
    <row r="8" ht="18.75" customHeight="1">
      <c r="A8" s="86"/>
      <c r="B8" s="228">
        <v>46227.0</v>
      </c>
      <c r="C8" s="86" t="s">
        <v>726</v>
      </c>
      <c r="D8" s="86" t="s">
        <v>357</v>
      </c>
      <c r="E8" s="86" t="s">
        <v>473</v>
      </c>
      <c r="F8" s="222">
        <v>1.0</v>
      </c>
      <c r="G8" s="223">
        <v>1500.0</v>
      </c>
    </row>
    <row r="9" ht="18.75" customHeight="1">
      <c r="A9" s="86"/>
      <c r="B9" s="228">
        <v>46230.0</v>
      </c>
      <c r="C9" s="86" t="s">
        <v>726</v>
      </c>
      <c r="D9" s="86" t="s">
        <v>259</v>
      </c>
      <c r="E9" s="86" t="s">
        <v>106</v>
      </c>
      <c r="F9" s="222">
        <v>1.0</v>
      </c>
      <c r="G9" s="223">
        <v>1300.0</v>
      </c>
    </row>
    <row r="10" ht="18.75" customHeight="1">
      <c r="A10" s="86"/>
      <c r="B10" s="228">
        <v>46233.0</v>
      </c>
      <c r="C10" s="86" t="s">
        <v>712</v>
      </c>
      <c r="D10" s="86" t="s">
        <v>342</v>
      </c>
      <c r="E10" s="86" t="s">
        <v>519</v>
      </c>
      <c r="F10" s="222">
        <v>1.0</v>
      </c>
      <c r="G10" s="223">
        <v>6500.0</v>
      </c>
    </row>
    <row r="11" ht="18.75" customHeight="1">
      <c r="A11" s="86"/>
      <c r="B11" s="228">
        <v>46234.0</v>
      </c>
      <c r="C11" s="86" t="s">
        <v>712</v>
      </c>
      <c r="D11" s="86" t="s">
        <v>215</v>
      </c>
      <c r="E11" s="86" t="s">
        <v>722</v>
      </c>
      <c r="F11" s="222">
        <v>1.0</v>
      </c>
      <c r="G11" s="223">
        <v>6500.0</v>
      </c>
    </row>
    <row r="12" ht="18.75" customHeight="1">
      <c r="A12" s="86"/>
      <c r="B12" s="228">
        <v>46235.0</v>
      </c>
      <c r="C12" s="86" t="s">
        <v>726</v>
      </c>
      <c r="D12" s="86" t="s">
        <v>46</v>
      </c>
      <c r="E12" s="86" t="s">
        <v>473</v>
      </c>
      <c r="F12" s="222">
        <v>1.0</v>
      </c>
      <c r="G12" s="223">
        <v>1500.0</v>
      </c>
    </row>
    <row r="13" ht="18.75" customHeight="1">
      <c r="A13" s="86"/>
      <c r="B13" s="228">
        <v>46235.0</v>
      </c>
      <c r="C13" s="86" t="s">
        <v>605</v>
      </c>
      <c r="D13" s="86" t="s">
        <v>733</v>
      </c>
      <c r="E13" s="86" t="s">
        <v>734</v>
      </c>
      <c r="F13" s="222">
        <v>1.0</v>
      </c>
      <c r="G13" s="223">
        <v>4950.0</v>
      </c>
    </row>
    <row r="14" ht="18.75" customHeight="1">
      <c r="A14" s="86"/>
      <c r="B14" s="228">
        <v>46236.0</v>
      </c>
      <c r="C14" s="86" t="s">
        <v>726</v>
      </c>
      <c r="D14" s="86" t="s">
        <v>735</v>
      </c>
      <c r="E14" s="86" t="s">
        <v>512</v>
      </c>
      <c r="F14" s="222">
        <v>1.0</v>
      </c>
      <c r="G14" s="223">
        <v>1500.0</v>
      </c>
    </row>
    <row r="15" ht="18.75" customHeight="1">
      <c r="A15" s="86"/>
      <c r="B15" s="228">
        <v>46237.0</v>
      </c>
      <c r="C15" s="86" t="s">
        <v>736</v>
      </c>
      <c r="D15" s="86" t="s">
        <v>737</v>
      </c>
      <c r="E15" s="86" t="s">
        <v>549</v>
      </c>
      <c r="F15" s="222">
        <v>1.0</v>
      </c>
      <c r="G15" s="223">
        <v>5500.0</v>
      </c>
    </row>
    <row r="16" ht="18.75" customHeight="1">
      <c r="A16" s="86"/>
      <c r="B16" s="228">
        <v>46237.0</v>
      </c>
      <c r="C16" s="86" t="s">
        <v>708</v>
      </c>
      <c r="D16" s="86" t="s">
        <v>453</v>
      </c>
      <c r="E16" s="86" t="s">
        <v>61</v>
      </c>
      <c r="F16" s="222">
        <v>1.0</v>
      </c>
      <c r="G16" s="223">
        <v>2000.0</v>
      </c>
    </row>
    <row r="17" ht="18.75" customHeight="1">
      <c r="A17" s="86"/>
      <c r="B17" s="228">
        <v>46239.0</v>
      </c>
      <c r="C17" s="86" t="s">
        <v>738</v>
      </c>
      <c r="D17" s="86" t="s">
        <v>116</v>
      </c>
      <c r="E17" s="86" t="s">
        <v>28</v>
      </c>
      <c r="F17" s="222">
        <v>1.0</v>
      </c>
      <c r="G17" s="223">
        <v>3900.0</v>
      </c>
    </row>
    <row r="18" ht="18.75" customHeight="1">
      <c r="A18" s="86"/>
      <c r="B18" s="228">
        <v>46239.0</v>
      </c>
      <c r="C18" s="86" t="s">
        <v>389</v>
      </c>
      <c r="D18" s="135" t="s">
        <v>94</v>
      </c>
      <c r="E18" s="135" t="s">
        <v>499</v>
      </c>
      <c r="F18" s="222">
        <v>1.0</v>
      </c>
      <c r="G18" s="223">
        <v>5100.0</v>
      </c>
    </row>
    <row r="19" ht="18.75" customHeight="1">
      <c r="A19" s="86"/>
      <c r="B19" s="228"/>
      <c r="C19" s="86" t="s">
        <v>363</v>
      </c>
      <c r="D19" s="47"/>
      <c r="E19" s="47"/>
      <c r="F19" s="222">
        <v>1.0</v>
      </c>
      <c r="G19" s="223">
        <v>5525.0</v>
      </c>
    </row>
    <row r="20" ht="18.75" customHeight="1">
      <c r="A20" s="86"/>
      <c r="B20" s="228"/>
      <c r="C20" s="86"/>
      <c r="D20" s="86"/>
      <c r="E20" s="86"/>
      <c r="F20" s="230"/>
      <c r="G20" s="223"/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86"/>
      <c r="B29" s="228"/>
      <c r="C29" s="86"/>
      <c r="D29" s="86"/>
      <c r="E29" s="86"/>
      <c r="F29" s="222"/>
      <c r="G29" s="223"/>
    </row>
    <row r="30" ht="18.75" customHeight="1">
      <c r="A30" s="86"/>
      <c r="B30" s="228"/>
      <c r="C30" s="86"/>
      <c r="D30" s="86"/>
      <c r="E30" s="86"/>
      <c r="F30" s="222"/>
      <c r="G30" s="223"/>
    </row>
    <row r="31" ht="18.75" customHeight="1">
      <c r="A31" s="150"/>
      <c r="B31" s="205"/>
      <c r="C31" s="87"/>
      <c r="D31" s="74"/>
      <c r="E31" s="74"/>
      <c r="F31" s="75"/>
      <c r="G31" s="211"/>
    </row>
    <row r="32" ht="18.75" customHeight="1">
      <c r="A32" s="150"/>
      <c r="B32" s="205"/>
      <c r="C32" s="87"/>
      <c r="D32" s="74"/>
      <c r="E32" s="74"/>
      <c r="F32" s="75"/>
      <c r="G32" s="212">
        <f>SUM(G4:G30)</f>
        <v>64725</v>
      </c>
    </row>
    <row r="33" ht="18.75" customHeight="1">
      <c r="A33" s="150"/>
      <c r="B33" s="205"/>
      <c r="C33" s="87"/>
      <c r="D33" s="74"/>
      <c r="E33" s="74"/>
      <c r="F33" s="75"/>
      <c r="G33" s="20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5"/>
      <c r="G38" s="76"/>
    </row>
    <row r="39" ht="18.75" customHeight="1">
      <c r="A39" s="72"/>
      <c r="B39" s="73"/>
      <c r="C39" s="87"/>
      <c r="D39" s="74"/>
      <c r="E39" s="74"/>
      <c r="F39" s="75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73"/>
      <c r="C224" s="87"/>
      <c r="D224" s="74"/>
      <c r="E224" s="74"/>
      <c r="F224" s="72"/>
      <c r="G224" s="76"/>
    </row>
    <row r="225" ht="18.75" customHeight="1">
      <c r="A225" s="72"/>
      <c r="B225" s="73"/>
      <c r="C225" s="87"/>
      <c r="D225" s="74"/>
      <c r="E225" s="74"/>
      <c r="F225" s="72"/>
      <c r="G225" s="76"/>
    </row>
    <row r="226" ht="18.75" customHeight="1">
      <c r="A226" s="72"/>
      <c r="B226" s="59"/>
      <c r="C226" s="87"/>
      <c r="D226" s="74"/>
      <c r="E226" s="74"/>
      <c r="F226" s="72"/>
      <c r="G226" s="76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5.75" customHeight="1">
      <c r="B231" s="59"/>
    </row>
    <row r="232" ht="15.75" customHeight="1">
      <c r="B232" s="59"/>
    </row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2"/>
    <mergeCell ref="D18:D19"/>
    <mergeCell ref="E18:E19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33.14"/>
    <col customWidth="1" min="4" max="4" width="23.0"/>
    <col customWidth="1" min="5" max="5" width="21.14"/>
    <col customWidth="1" min="6" max="6" width="13.14"/>
    <col customWidth="1" min="7" max="7" width="34.14"/>
    <col customWidth="1" min="8" max="19" width="9.14"/>
  </cols>
  <sheetData>
    <row r="1" ht="24.0" customHeight="1">
      <c r="A1" s="92" t="s">
        <v>648</v>
      </c>
      <c r="B1" s="93"/>
      <c r="C1" s="93"/>
      <c r="D1" s="93"/>
      <c r="E1" s="93"/>
      <c r="F1" s="93"/>
      <c r="G1" s="185"/>
    </row>
    <row r="2" ht="18.75" customHeight="1">
      <c r="A2" s="186"/>
      <c r="B2" s="7"/>
      <c r="C2" s="7"/>
      <c r="D2" s="7"/>
      <c r="E2" s="7"/>
      <c r="F2" s="7"/>
      <c r="G2" s="9"/>
    </row>
    <row r="3" ht="18.75" customHeight="1">
      <c r="A3" s="174" t="s">
        <v>2</v>
      </c>
      <c r="B3" s="98" t="s">
        <v>3</v>
      </c>
      <c r="C3" s="98" t="s">
        <v>4</v>
      </c>
      <c r="D3" s="98" t="s">
        <v>5</v>
      </c>
      <c r="E3" s="98" t="s">
        <v>6</v>
      </c>
      <c r="F3" s="176" t="s">
        <v>7</v>
      </c>
      <c r="G3" s="177" t="s">
        <v>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4"/>
      <c r="U3" s="24"/>
      <c r="V3" s="24"/>
      <c r="W3" s="24"/>
      <c r="X3" s="24"/>
      <c r="Y3" s="24"/>
      <c r="Z3" s="24"/>
    </row>
    <row r="4" ht="18.75" customHeight="1">
      <c r="A4" s="86"/>
      <c r="B4" s="228"/>
      <c r="C4" s="86"/>
      <c r="D4" s="86"/>
      <c r="E4" s="86"/>
      <c r="F4" s="222"/>
      <c r="G4" s="223"/>
    </row>
    <row r="5" ht="18.75" customHeight="1">
      <c r="A5" s="86"/>
      <c r="B5" s="228"/>
      <c r="C5" s="86"/>
      <c r="D5" s="86"/>
      <c r="E5" s="86"/>
      <c r="F5" s="222"/>
      <c r="G5" s="223"/>
    </row>
    <row r="6" ht="18.75" customHeight="1">
      <c r="A6" s="86"/>
      <c r="B6" s="228"/>
      <c r="C6" s="86"/>
      <c r="D6" s="86"/>
      <c r="E6" s="86"/>
      <c r="F6" s="222"/>
      <c r="G6" s="223"/>
    </row>
    <row r="7" ht="18.75" customHeight="1">
      <c r="A7" s="86"/>
      <c r="B7" s="228"/>
      <c r="C7" s="86"/>
      <c r="D7" s="86"/>
      <c r="E7" s="86"/>
      <c r="F7" s="222"/>
      <c r="G7" s="223"/>
    </row>
    <row r="8" ht="18.75" customHeight="1">
      <c r="A8" s="86"/>
      <c r="B8" s="228"/>
      <c r="C8" s="86"/>
      <c r="D8" s="86"/>
      <c r="E8" s="86"/>
      <c r="F8" s="222"/>
      <c r="G8" s="223"/>
    </row>
    <row r="9" ht="18.75" customHeight="1">
      <c r="A9" s="86"/>
      <c r="B9" s="228"/>
      <c r="C9" s="86"/>
      <c r="D9" s="86"/>
      <c r="E9" s="86"/>
      <c r="F9" s="222"/>
      <c r="G9" s="223"/>
    </row>
    <row r="10" ht="18.75" customHeight="1">
      <c r="A10" s="86"/>
      <c r="B10" s="228"/>
      <c r="C10" s="86"/>
      <c r="D10" s="86"/>
      <c r="E10" s="86"/>
      <c r="F10" s="222"/>
      <c r="G10" s="223"/>
    </row>
    <row r="11" ht="18.75" customHeight="1">
      <c r="A11" s="86"/>
      <c r="B11" s="228"/>
      <c r="C11" s="86"/>
      <c r="D11" s="86"/>
      <c r="E11" s="86"/>
      <c r="F11" s="222"/>
      <c r="G11" s="223"/>
    </row>
    <row r="12" ht="18.75" customHeight="1">
      <c r="A12" s="86"/>
      <c r="B12" s="228"/>
      <c r="C12" s="86"/>
      <c r="D12" s="86"/>
      <c r="E12" s="86"/>
      <c r="F12" s="222"/>
      <c r="G12" s="223"/>
    </row>
    <row r="13" ht="18.75" customHeight="1">
      <c r="A13" s="86"/>
      <c r="B13" s="228"/>
      <c r="C13" s="86"/>
      <c r="D13" s="86"/>
      <c r="E13" s="86"/>
      <c r="F13" s="222"/>
      <c r="G13" s="223"/>
    </row>
    <row r="14" ht="18.75" customHeight="1">
      <c r="A14" s="86"/>
      <c r="B14" s="228"/>
      <c r="C14" s="86"/>
      <c r="D14" s="86"/>
      <c r="E14" s="86"/>
      <c r="F14" s="222"/>
      <c r="G14" s="223"/>
    </row>
    <row r="15" ht="18.75" customHeight="1">
      <c r="A15" s="86"/>
      <c r="B15" s="228"/>
      <c r="C15" s="86"/>
      <c r="D15" s="86"/>
      <c r="E15" s="86"/>
      <c r="F15" s="222"/>
      <c r="G15" s="223"/>
    </row>
    <row r="16" ht="18.75" customHeight="1">
      <c r="A16" s="86"/>
      <c r="B16" s="228"/>
      <c r="C16" s="86"/>
      <c r="D16" s="86"/>
      <c r="E16" s="86"/>
      <c r="F16" s="222"/>
      <c r="G16" s="223"/>
    </row>
    <row r="17" ht="18.75" customHeight="1">
      <c r="A17" s="86"/>
      <c r="B17" s="228"/>
      <c r="C17" s="86"/>
      <c r="D17" s="86"/>
      <c r="E17" s="86"/>
      <c r="F17" s="222"/>
      <c r="G17" s="223"/>
    </row>
    <row r="18" ht="18.75" customHeight="1">
      <c r="A18" s="86"/>
      <c r="B18" s="228"/>
      <c r="C18" s="86"/>
      <c r="D18" s="86"/>
      <c r="E18" s="86"/>
      <c r="F18" s="230"/>
      <c r="G18" s="223"/>
    </row>
    <row r="19" ht="18.75" customHeight="1">
      <c r="A19" s="86"/>
      <c r="B19" s="228"/>
      <c r="C19" s="86"/>
      <c r="D19" s="86"/>
      <c r="E19" s="86"/>
      <c r="F19" s="222"/>
      <c r="G19" s="223"/>
    </row>
    <row r="20" ht="18.75" customHeight="1">
      <c r="A20" s="86"/>
      <c r="B20" s="228"/>
      <c r="C20" s="86"/>
      <c r="D20" s="86"/>
      <c r="E20" s="86"/>
      <c r="F20" s="222"/>
      <c r="G20" s="223"/>
    </row>
    <row r="21" ht="18.75" customHeight="1">
      <c r="A21" s="86"/>
      <c r="B21" s="228"/>
      <c r="C21" s="86"/>
      <c r="D21" s="86"/>
      <c r="E21" s="86"/>
      <c r="F21" s="222"/>
      <c r="G21" s="223"/>
    </row>
    <row r="22" ht="18.75" customHeight="1">
      <c r="A22" s="86"/>
      <c r="B22" s="228"/>
      <c r="C22" s="86"/>
      <c r="D22" s="86"/>
      <c r="E22" s="86"/>
      <c r="F22" s="222"/>
      <c r="G22" s="223"/>
    </row>
    <row r="23" ht="18.75" customHeight="1">
      <c r="A23" s="86"/>
      <c r="B23" s="228"/>
      <c r="C23" s="86"/>
      <c r="D23" s="86"/>
      <c r="E23" s="86"/>
      <c r="F23" s="222"/>
      <c r="G23" s="223"/>
    </row>
    <row r="24" ht="18.75" customHeight="1">
      <c r="A24" s="86"/>
      <c r="B24" s="228"/>
      <c r="C24" s="86"/>
      <c r="D24" s="86"/>
      <c r="E24" s="86"/>
      <c r="F24" s="222"/>
      <c r="G24" s="223"/>
    </row>
    <row r="25" ht="18.75" customHeight="1">
      <c r="A25" s="86"/>
      <c r="B25" s="228"/>
      <c r="C25" s="86"/>
      <c r="D25" s="86"/>
      <c r="E25" s="86"/>
      <c r="F25" s="222"/>
      <c r="G25" s="223"/>
    </row>
    <row r="26" ht="18.75" customHeight="1">
      <c r="A26" s="86"/>
      <c r="B26" s="228"/>
      <c r="C26" s="86"/>
      <c r="D26" s="86"/>
      <c r="E26" s="86"/>
      <c r="F26" s="222"/>
      <c r="G26" s="223"/>
    </row>
    <row r="27" ht="18.75" customHeight="1">
      <c r="A27" s="86"/>
      <c r="B27" s="228"/>
      <c r="C27" s="86"/>
      <c r="D27" s="86"/>
      <c r="E27" s="86"/>
      <c r="F27" s="222"/>
      <c r="G27" s="223"/>
    </row>
    <row r="28" ht="18.75" customHeight="1">
      <c r="A28" s="86"/>
      <c r="B28" s="228"/>
      <c r="C28" s="86"/>
      <c r="D28" s="86"/>
      <c r="E28" s="86"/>
      <c r="F28" s="222"/>
      <c r="G28" s="223"/>
    </row>
    <row r="29" ht="18.75" customHeight="1">
      <c r="A29" s="150"/>
      <c r="B29" s="205"/>
      <c r="C29" s="87"/>
      <c r="D29" s="74"/>
      <c r="E29" s="74"/>
      <c r="F29" s="75"/>
      <c r="G29" s="211"/>
    </row>
    <row r="30" ht="18.75" customHeight="1">
      <c r="A30" s="150"/>
      <c r="B30" s="205"/>
      <c r="C30" s="87"/>
      <c r="D30" s="74"/>
      <c r="E30" s="74"/>
      <c r="F30" s="75"/>
      <c r="G30" s="212">
        <f>SUM(G4:G28)</f>
        <v>0</v>
      </c>
    </row>
    <row r="31" ht="18.75" customHeight="1">
      <c r="A31" s="150"/>
      <c r="B31" s="205"/>
      <c r="C31" s="87"/>
      <c r="D31" s="74"/>
      <c r="E31" s="74"/>
      <c r="F31" s="75"/>
      <c r="G31" s="206"/>
    </row>
    <row r="32" ht="18.75" customHeight="1">
      <c r="A32" s="72"/>
      <c r="B32" s="73"/>
      <c r="C32" s="87"/>
      <c r="D32" s="74"/>
      <c r="E32" s="74"/>
      <c r="F32" s="75"/>
      <c r="G32" s="76"/>
    </row>
    <row r="33" ht="18.75" customHeight="1">
      <c r="A33" s="72"/>
      <c r="B33" s="73"/>
      <c r="C33" s="87"/>
      <c r="D33" s="74"/>
      <c r="E33" s="74"/>
      <c r="F33" s="75"/>
      <c r="G33" s="76"/>
    </row>
    <row r="34" ht="18.75" customHeight="1">
      <c r="A34" s="72"/>
      <c r="B34" s="73"/>
      <c r="C34" s="87"/>
      <c r="D34" s="74"/>
      <c r="E34" s="74"/>
      <c r="F34" s="75"/>
      <c r="G34" s="76"/>
    </row>
    <row r="35" ht="18.75" customHeight="1">
      <c r="A35" s="72"/>
      <c r="B35" s="73"/>
      <c r="C35" s="87"/>
      <c r="D35" s="74"/>
      <c r="E35" s="74"/>
      <c r="F35" s="75"/>
      <c r="G35" s="76"/>
    </row>
    <row r="36" ht="18.75" customHeight="1">
      <c r="A36" s="72"/>
      <c r="B36" s="73"/>
      <c r="C36" s="87"/>
      <c r="D36" s="74"/>
      <c r="E36" s="74"/>
      <c r="F36" s="75"/>
      <c r="G36" s="76"/>
    </row>
    <row r="37" ht="18.75" customHeight="1">
      <c r="A37" s="72"/>
      <c r="B37" s="73"/>
      <c r="C37" s="87"/>
      <c r="D37" s="74"/>
      <c r="E37" s="74"/>
      <c r="F37" s="75"/>
      <c r="G37" s="76"/>
    </row>
    <row r="38" ht="18.75" customHeight="1">
      <c r="A38" s="72"/>
      <c r="B38" s="73"/>
      <c r="C38" s="87"/>
      <c r="D38" s="74"/>
      <c r="E38" s="74"/>
      <c r="F38" s="72"/>
      <c r="G38" s="76"/>
    </row>
    <row r="39" ht="18.75" customHeight="1">
      <c r="A39" s="72"/>
      <c r="B39" s="73"/>
      <c r="C39" s="87"/>
      <c r="D39" s="74"/>
      <c r="E39" s="74"/>
      <c r="F39" s="72"/>
      <c r="G39" s="76"/>
    </row>
    <row r="40" ht="18.75" customHeight="1">
      <c r="A40" s="72"/>
      <c r="B40" s="73"/>
      <c r="C40" s="87"/>
      <c r="D40" s="74"/>
      <c r="E40" s="74"/>
      <c r="F40" s="72"/>
      <c r="G40" s="76"/>
    </row>
    <row r="41" ht="18.75" customHeight="1">
      <c r="A41" s="72"/>
      <c r="B41" s="73"/>
      <c r="C41" s="87"/>
      <c r="D41" s="74"/>
      <c r="E41" s="74"/>
      <c r="F41" s="72"/>
      <c r="G41" s="76"/>
    </row>
    <row r="42" ht="18.75" customHeight="1">
      <c r="A42" s="72"/>
      <c r="B42" s="73"/>
      <c r="C42" s="87"/>
      <c r="D42" s="74"/>
      <c r="E42" s="74"/>
      <c r="F42" s="72"/>
      <c r="G42" s="76"/>
    </row>
    <row r="43" ht="18.75" customHeight="1">
      <c r="A43" s="72"/>
      <c r="B43" s="73"/>
      <c r="C43" s="87"/>
      <c r="D43" s="74"/>
      <c r="E43" s="74"/>
      <c r="F43" s="72"/>
      <c r="G43" s="76"/>
    </row>
    <row r="44" ht="18.75" customHeight="1">
      <c r="A44" s="72"/>
      <c r="B44" s="73"/>
      <c r="C44" s="87"/>
      <c r="D44" s="74"/>
      <c r="E44" s="74"/>
      <c r="F44" s="72"/>
      <c r="G44" s="76"/>
    </row>
    <row r="45" ht="18.75" customHeight="1">
      <c r="A45" s="72"/>
      <c r="B45" s="73"/>
      <c r="C45" s="87"/>
      <c r="D45" s="74"/>
      <c r="E45" s="74"/>
      <c r="F45" s="72"/>
      <c r="G45" s="76"/>
    </row>
    <row r="46" ht="18.75" customHeight="1">
      <c r="A46" s="72"/>
      <c r="B46" s="73"/>
      <c r="C46" s="87"/>
      <c r="D46" s="74"/>
      <c r="E46" s="74"/>
      <c r="F46" s="72"/>
      <c r="G46" s="76"/>
    </row>
    <row r="47" ht="18.75" customHeight="1">
      <c r="A47" s="72"/>
      <c r="B47" s="73"/>
      <c r="C47" s="87"/>
      <c r="D47" s="74"/>
      <c r="E47" s="74"/>
      <c r="F47" s="72"/>
      <c r="G47" s="76"/>
    </row>
    <row r="48" ht="18.75" customHeight="1">
      <c r="A48" s="72"/>
      <c r="B48" s="73"/>
      <c r="C48" s="87"/>
      <c r="D48" s="74"/>
      <c r="E48" s="74"/>
      <c r="F48" s="72"/>
      <c r="G48" s="76"/>
    </row>
    <row r="49" ht="18.75" customHeight="1">
      <c r="A49" s="72"/>
      <c r="B49" s="73"/>
      <c r="C49" s="87"/>
      <c r="D49" s="74"/>
      <c r="E49" s="74"/>
      <c r="F49" s="72"/>
      <c r="G49" s="76"/>
    </row>
    <row r="50" ht="18.75" customHeight="1">
      <c r="A50" s="72"/>
      <c r="B50" s="73"/>
      <c r="C50" s="87"/>
      <c r="D50" s="74"/>
      <c r="E50" s="74"/>
      <c r="F50" s="72"/>
      <c r="G50" s="76"/>
    </row>
    <row r="51" ht="18.75" customHeight="1">
      <c r="A51" s="72"/>
      <c r="B51" s="73"/>
      <c r="C51" s="87"/>
      <c r="D51" s="74"/>
      <c r="E51" s="74"/>
      <c r="F51" s="72"/>
      <c r="G51" s="76"/>
    </row>
    <row r="52" ht="18.75" customHeight="1">
      <c r="A52" s="72"/>
      <c r="B52" s="73"/>
      <c r="C52" s="87"/>
      <c r="D52" s="74"/>
      <c r="E52" s="74"/>
      <c r="F52" s="72"/>
      <c r="G52" s="76"/>
    </row>
    <row r="53" ht="18.75" customHeight="1">
      <c r="A53" s="72"/>
      <c r="B53" s="73"/>
      <c r="C53" s="87"/>
      <c r="D53" s="74"/>
      <c r="E53" s="74"/>
      <c r="F53" s="72"/>
      <c r="G53" s="76"/>
    </row>
    <row r="54" ht="18.75" customHeight="1">
      <c r="A54" s="72"/>
      <c r="B54" s="73"/>
      <c r="C54" s="87"/>
      <c r="D54" s="74"/>
      <c r="E54" s="74"/>
      <c r="F54" s="72"/>
      <c r="G54" s="76"/>
    </row>
    <row r="55" ht="18.75" customHeight="1">
      <c r="A55" s="72"/>
      <c r="B55" s="73"/>
      <c r="C55" s="87"/>
      <c r="D55" s="74"/>
      <c r="E55" s="74"/>
      <c r="F55" s="72"/>
      <c r="G55" s="76"/>
    </row>
    <row r="56" ht="18.75" customHeight="1">
      <c r="A56" s="72"/>
      <c r="B56" s="73"/>
      <c r="C56" s="87"/>
      <c r="D56" s="74"/>
      <c r="E56" s="74"/>
      <c r="F56" s="72"/>
      <c r="G56" s="76"/>
    </row>
    <row r="57" ht="18.75" customHeight="1">
      <c r="A57" s="72"/>
      <c r="B57" s="73"/>
      <c r="C57" s="87"/>
      <c r="D57" s="74"/>
      <c r="E57" s="74"/>
      <c r="F57" s="72"/>
      <c r="G57" s="76"/>
    </row>
    <row r="58" ht="18.75" customHeight="1">
      <c r="A58" s="72"/>
      <c r="B58" s="73"/>
      <c r="C58" s="87"/>
      <c r="D58" s="74"/>
      <c r="E58" s="74"/>
      <c r="F58" s="72"/>
      <c r="G58" s="76"/>
    </row>
    <row r="59" ht="18.75" customHeight="1">
      <c r="A59" s="72"/>
      <c r="B59" s="73"/>
      <c r="C59" s="87"/>
      <c r="D59" s="74"/>
      <c r="E59" s="74"/>
      <c r="F59" s="72"/>
      <c r="G59" s="76"/>
    </row>
    <row r="60" ht="18.75" customHeight="1">
      <c r="A60" s="72"/>
      <c r="B60" s="73"/>
      <c r="C60" s="87"/>
      <c r="D60" s="74"/>
      <c r="E60" s="74"/>
      <c r="F60" s="72"/>
      <c r="G60" s="76"/>
    </row>
    <row r="61" ht="18.75" customHeight="1">
      <c r="A61" s="72"/>
      <c r="B61" s="73"/>
      <c r="C61" s="87"/>
      <c r="D61" s="74"/>
      <c r="E61" s="74"/>
      <c r="F61" s="72"/>
      <c r="G61" s="76"/>
    </row>
    <row r="62" ht="18.75" customHeight="1">
      <c r="A62" s="72"/>
      <c r="B62" s="73"/>
      <c r="C62" s="87"/>
      <c r="D62" s="74"/>
      <c r="E62" s="74"/>
      <c r="F62" s="72"/>
      <c r="G62" s="76"/>
    </row>
    <row r="63" ht="18.75" customHeight="1">
      <c r="A63" s="72"/>
      <c r="B63" s="73"/>
      <c r="C63" s="87"/>
      <c r="D63" s="74"/>
      <c r="E63" s="74"/>
      <c r="F63" s="72"/>
      <c r="G63" s="76"/>
    </row>
    <row r="64" ht="18.75" customHeight="1">
      <c r="A64" s="72"/>
      <c r="B64" s="73"/>
      <c r="C64" s="87"/>
      <c r="D64" s="74"/>
      <c r="E64" s="74"/>
      <c r="F64" s="72"/>
      <c r="G64" s="76"/>
    </row>
    <row r="65" ht="18.75" customHeight="1">
      <c r="A65" s="72"/>
      <c r="B65" s="73"/>
      <c r="C65" s="87"/>
      <c r="D65" s="74"/>
      <c r="E65" s="74"/>
      <c r="F65" s="72"/>
      <c r="G65" s="76"/>
    </row>
    <row r="66" ht="18.75" customHeight="1">
      <c r="A66" s="72"/>
      <c r="B66" s="73"/>
      <c r="C66" s="87"/>
      <c r="D66" s="74"/>
      <c r="E66" s="74"/>
      <c r="F66" s="72"/>
      <c r="G66" s="76"/>
    </row>
    <row r="67" ht="18.75" customHeight="1">
      <c r="A67" s="72"/>
      <c r="B67" s="73"/>
      <c r="C67" s="87"/>
      <c r="D67" s="74"/>
      <c r="E67" s="74"/>
      <c r="F67" s="72"/>
      <c r="G67" s="76"/>
    </row>
    <row r="68" ht="18.75" customHeight="1">
      <c r="A68" s="72"/>
      <c r="B68" s="73"/>
      <c r="C68" s="87"/>
      <c r="D68" s="74"/>
      <c r="E68" s="74"/>
      <c r="F68" s="72"/>
      <c r="G68" s="76"/>
    </row>
    <row r="69" ht="18.75" customHeight="1">
      <c r="A69" s="72"/>
      <c r="B69" s="73"/>
      <c r="C69" s="87"/>
      <c r="D69" s="74"/>
      <c r="E69" s="74"/>
      <c r="F69" s="72"/>
      <c r="G69" s="76"/>
    </row>
    <row r="70" ht="18.75" customHeight="1">
      <c r="A70" s="72"/>
      <c r="B70" s="73"/>
      <c r="C70" s="87"/>
      <c r="D70" s="74"/>
      <c r="E70" s="74"/>
      <c r="F70" s="72"/>
      <c r="G70" s="76"/>
    </row>
    <row r="71" ht="18.75" customHeight="1">
      <c r="A71" s="72"/>
      <c r="B71" s="73"/>
      <c r="C71" s="87"/>
      <c r="D71" s="74"/>
      <c r="E71" s="74"/>
      <c r="F71" s="72"/>
      <c r="G71" s="76"/>
    </row>
    <row r="72" ht="18.75" customHeight="1">
      <c r="A72" s="72"/>
      <c r="B72" s="73"/>
      <c r="C72" s="87"/>
      <c r="D72" s="74"/>
      <c r="E72" s="74"/>
      <c r="F72" s="72"/>
      <c r="G72" s="76"/>
    </row>
    <row r="73" ht="18.75" customHeight="1">
      <c r="A73" s="72"/>
      <c r="B73" s="73"/>
      <c r="C73" s="87"/>
      <c r="D73" s="74"/>
      <c r="E73" s="74"/>
      <c r="F73" s="72"/>
      <c r="G73" s="76"/>
    </row>
    <row r="74" ht="18.75" customHeight="1">
      <c r="A74" s="72"/>
      <c r="B74" s="73"/>
      <c r="C74" s="87"/>
      <c r="D74" s="74"/>
      <c r="E74" s="74"/>
      <c r="F74" s="72"/>
      <c r="G74" s="76"/>
    </row>
    <row r="75" ht="18.75" customHeight="1">
      <c r="A75" s="72"/>
      <c r="B75" s="73"/>
      <c r="C75" s="87"/>
      <c r="D75" s="74"/>
      <c r="E75" s="74"/>
      <c r="F75" s="72"/>
      <c r="G75" s="76"/>
    </row>
    <row r="76" ht="18.75" customHeight="1">
      <c r="A76" s="72"/>
      <c r="B76" s="73"/>
      <c r="C76" s="87"/>
      <c r="D76" s="74"/>
      <c r="E76" s="74"/>
      <c r="F76" s="72"/>
      <c r="G76" s="76"/>
    </row>
    <row r="77" ht="18.75" customHeight="1">
      <c r="A77" s="72"/>
      <c r="B77" s="73"/>
      <c r="C77" s="87"/>
      <c r="D77" s="74"/>
      <c r="E77" s="74"/>
      <c r="F77" s="72"/>
      <c r="G77" s="76"/>
    </row>
    <row r="78" ht="18.75" customHeight="1">
      <c r="A78" s="72"/>
      <c r="B78" s="73"/>
      <c r="C78" s="87"/>
      <c r="D78" s="74"/>
      <c r="E78" s="74"/>
      <c r="F78" s="72"/>
      <c r="G78" s="76"/>
    </row>
    <row r="79" ht="18.75" customHeight="1">
      <c r="A79" s="72"/>
      <c r="B79" s="73"/>
      <c r="C79" s="87"/>
      <c r="D79" s="74"/>
      <c r="E79" s="74"/>
      <c r="F79" s="72"/>
      <c r="G79" s="76"/>
    </row>
    <row r="80" ht="18.75" customHeight="1">
      <c r="A80" s="72"/>
      <c r="B80" s="73"/>
      <c r="C80" s="87"/>
      <c r="D80" s="74"/>
      <c r="E80" s="74"/>
      <c r="F80" s="72"/>
      <c r="G80" s="76"/>
    </row>
    <row r="81" ht="18.75" customHeight="1">
      <c r="A81" s="72"/>
      <c r="B81" s="73"/>
      <c r="C81" s="87"/>
      <c r="D81" s="74"/>
      <c r="E81" s="74"/>
      <c r="F81" s="72"/>
      <c r="G81" s="76"/>
    </row>
    <row r="82" ht="18.75" customHeight="1">
      <c r="A82" s="72"/>
      <c r="B82" s="73"/>
      <c r="C82" s="87"/>
      <c r="D82" s="74"/>
      <c r="E82" s="74"/>
      <c r="F82" s="72"/>
      <c r="G82" s="76"/>
    </row>
    <row r="83" ht="18.75" customHeight="1">
      <c r="A83" s="72"/>
      <c r="B83" s="73"/>
      <c r="C83" s="87"/>
      <c r="D83" s="74"/>
      <c r="E83" s="74"/>
      <c r="F83" s="72"/>
      <c r="G83" s="76"/>
    </row>
    <row r="84" ht="18.75" customHeight="1">
      <c r="A84" s="72"/>
      <c r="B84" s="73"/>
      <c r="C84" s="87"/>
      <c r="D84" s="74"/>
      <c r="E84" s="74"/>
      <c r="F84" s="72"/>
      <c r="G84" s="76"/>
    </row>
    <row r="85" ht="18.75" customHeight="1">
      <c r="A85" s="72"/>
      <c r="B85" s="73"/>
      <c r="C85" s="87"/>
      <c r="D85" s="74"/>
      <c r="E85" s="74"/>
      <c r="F85" s="72"/>
      <c r="G85" s="76"/>
    </row>
    <row r="86" ht="18.75" customHeight="1">
      <c r="A86" s="72"/>
      <c r="B86" s="73"/>
      <c r="C86" s="87"/>
      <c r="D86" s="74"/>
      <c r="E86" s="74"/>
      <c r="F86" s="72"/>
      <c r="G86" s="76"/>
    </row>
    <row r="87" ht="18.75" customHeight="1">
      <c r="A87" s="72"/>
      <c r="B87" s="73"/>
      <c r="C87" s="87"/>
      <c r="D87" s="74"/>
      <c r="E87" s="74"/>
      <c r="F87" s="72"/>
      <c r="G87" s="76"/>
    </row>
    <row r="88" ht="18.75" customHeight="1">
      <c r="A88" s="72"/>
      <c r="B88" s="73"/>
      <c r="C88" s="87"/>
      <c r="D88" s="74"/>
      <c r="E88" s="74"/>
      <c r="F88" s="72"/>
      <c r="G88" s="76"/>
    </row>
    <row r="89" ht="18.75" customHeight="1">
      <c r="A89" s="72"/>
      <c r="B89" s="73"/>
      <c r="C89" s="87"/>
      <c r="D89" s="74"/>
      <c r="E89" s="74"/>
      <c r="F89" s="72"/>
      <c r="G89" s="76"/>
    </row>
    <row r="90" ht="18.75" customHeight="1">
      <c r="A90" s="72"/>
      <c r="B90" s="73"/>
      <c r="C90" s="87"/>
      <c r="D90" s="74"/>
      <c r="E90" s="74"/>
      <c r="F90" s="72"/>
      <c r="G90" s="76"/>
    </row>
    <row r="91" ht="18.75" customHeight="1">
      <c r="A91" s="72"/>
      <c r="B91" s="73"/>
      <c r="C91" s="87"/>
      <c r="D91" s="74"/>
      <c r="E91" s="74"/>
      <c r="F91" s="72"/>
      <c r="G91" s="76"/>
    </row>
    <row r="92" ht="18.75" customHeight="1">
      <c r="A92" s="72"/>
      <c r="B92" s="73"/>
      <c r="C92" s="87"/>
      <c r="D92" s="74"/>
      <c r="E92" s="74"/>
      <c r="F92" s="72"/>
      <c r="G92" s="76"/>
    </row>
    <row r="93" ht="18.75" customHeight="1">
      <c r="A93" s="72"/>
      <c r="B93" s="73"/>
      <c r="C93" s="87"/>
      <c r="D93" s="74"/>
      <c r="E93" s="74"/>
      <c r="F93" s="72"/>
      <c r="G93" s="76"/>
    </row>
    <row r="94" ht="18.75" customHeight="1">
      <c r="A94" s="72"/>
      <c r="B94" s="73"/>
      <c r="C94" s="87"/>
      <c r="D94" s="74"/>
      <c r="E94" s="74"/>
      <c r="F94" s="72"/>
      <c r="G94" s="76"/>
    </row>
    <row r="95" ht="18.75" customHeight="1">
      <c r="A95" s="72"/>
      <c r="B95" s="73"/>
      <c r="C95" s="87"/>
      <c r="D95" s="74"/>
      <c r="E95" s="74"/>
      <c r="F95" s="72"/>
      <c r="G95" s="76"/>
    </row>
    <row r="96" ht="18.75" customHeight="1">
      <c r="A96" s="72"/>
      <c r="B96" s="73"/>
      <c r="C96" s="87"/>
      <c r="D96" s="74"/>
      <c r="E96" s="74"/>
      <c r="F96" s="72"/>
      <c r="G96" s="76"/>
    </row>
    <row r="97" ht="18.75" customHeight="1">
      <c r="A97" s="72"/>
      <c r="B97" s="73"/>
      <c r="C97" s="87"/>
      <c r="D97" s="74"/>
      <c r="E97" s="74"/>
      <c r="F97" s="72"/>
      <c r="G97" s="76"/>
    </row>
    <row r="98" ht="18.75" customHeight="1">
      <c r="A98" s="72"/>
      <c r="B98" s="73"/>
      <c r="C98" s="87"/>
      <c r="D98" s="74"/>
      <c r="E98" s="74"/>
      <c r="F98" s="72"/>
      <c r="G98" s="76"/>
    </row>
    <row r="99" ht="18.75" customHeight="1">
      <c r="A99" s="72"/>
      <c r="B99" s="73"/>
      <c r="C99" s="87"/>
      <c r="D99" s="74"/>
      <c r="E99" s="74"/>
      <c r="F99" s="72"/>
      <c r="G99" s="76"/>
    </row>
    <row r="100" ht="18.75" customHeight="1">
      <c r="A100" s="72"/>
      <c r="B100" s="73"/>
      <c r="C100" s="87"/>
      <c r="D100" s="74"/>
      <c r="E100" s="74"/>
      <c r="F100" s="72"/>
      <c r="G100" s="76"/>
    </row>
    <row r="101" ht="18.75" customHeight="1">
      <c r="A101" s="72"/>
      <c r="B101" s="73"/>
      <c r="C101" s="87"/>
      <c r="D101" s="74"/>
      <c r="E101" s="74"/>
      <c r="F101" s="72"/>
      <c r="G101" s="76"/>
    </row>
    <row r="102" ht="18.75" customHeight="1">
      <c r="A102" s="72"/>
      <c r="B102" s="73"/>
      <c r="C102" s="87"/>
      <c r="D102" s="74"/>
      <c r="E102" s="74"/>
      <c r="F102" s="72"/>
      <c r="G102" s="76"/>
    </row>
    <row r="103" ht="18.75" customHeight="1">
      <c r="A103" s="72"/>
      <c r="B103" s="73"/>
      <c r="C103" s="87"/>
      <c r="D103" s="74"/>
      <c r="E103" s="74"/>
      <c r="F103" s="72"/>
      <c r="G103" s="76"/>
    </row>
    <row r="104" ht="18.75" customHeight="1">
      <c r="A104" s="72"/>
      <c r="B104" s="73"/>
      <c r="C104" s="87"/>
      <c r="D104" s="74"/>
      <c r="E104" s="74"/>
      <c r="F104" s="72"/>
      <c r="G104" s="76"/>
    </row>
    <row r="105" ht="18.75" customHeight="1">
      <c r="A105" s="72"/>
      <c r="B105" s="73"/>
      <c r="C105" s="87"/>
      <c r="D105" s="74"/>
      <c r="E105" s="74"/>
      <c r="F105" s="72"/>
      <c r="G105" s="76"/>
    </row>
    <row r="106" ht="18.75" customHeight="1">
      <c r="A106" s="72"/>
      <c r="B106" s="73"/>
      <c r="C106" s="87"/>
      <c r="D106" s="74"/>
      <c r="E106" s="74"/>
      <c r="F106" s="72"/>
      <c r="G106" s="76"/>
    </row>
    <row r="107" ht="18.75" customHeight="1">
      <c r="A107" s="72"/>
      <c r="B107" s="73"/>
      <c r="C107" s="87"/>
      <c r="D107" s="74"/>
      <c r="E107" s="74"/>
      <c r="F107" s="72"/>
      <c r="G107" s="76"/>
    </row>
    <row r="108" ht="18.75" customHeight="1">
      <c r="A108" s="72"/>
      <c r="B108" s="73"/>
      <c r="C108" s="87"/>
      <c r="D108" s="74"/>
      <c r="E108" s="74"/>
      <c r="F108" s="72"/>
      <c r="G108" s="76"/>
    </row>
    <row r="109" ht="18.75" customHeight="1">
      <c r="A109" s="72"/>
      <c r="B109" s="73"/>
      <c r="C109" s="87"/>
      <c r="D109" s="74"/>
      <c r="E109" s="74"/>
      <c r="F109" s="72"/>
      <c r="G109" s="76"/>
    </row>
    <row r="110" ht="18.75" customHeight="1">
      <c r="A110" s="72"/>
      <c r="B110" s="73"/>
      <c r="C110" s="87"/>
      <c r="D110" s="74"/>
      <c r="E110" s="74"/>
      <c r="F110" s="72"/>
      <c r="G110" s="76"/>
    </row>
    <row r="111" ht="18.75" customHeight="1">
      <c r="A111" s="72"/>
      <c r="B111" s="73"/>
      <c r="C111" s="87"/>
      <c r="D111" s="74"/>
      <c r="E111" s="74"/>
      <c r="F111" s="72"/>
      <c r="G111" s="76"/>
    </row>
    <row r="112" ht="18.75" customHeight="1">
      <c r="A112" s="72"/>
      <c r="B112" s="73"/>
      <c r="C112" s="87"/>
      <c r="D112" s="74"/>
      <c r="E112" s="74"/>
      <c r="F112" s="72"/>
      <c r="G112" s="76"/>
    </row>
    <row r="113" ht="18.75" customHeight="1">
      <c r="A113" s="72"/>
      <c r="B113" s="73"/>
      <c r="C113" s="87"/>
      <c r="D113" s="74"/>
      <c r="E113" s="74"/>
      <c r="F113" s="72"/>
      <c r="G113" s="76"/>
    </row>
    <row r="114" ht="18.75" customHeight="1">
      <c r="A114" s="72"/>
      <c r="B114" s="73"/>
      <c r="C114" s="87"/>
      <c r="D114" s="74"/>
      <c r="E114" s="74"/>
      <c r="F114" s="72"/>
      <c r="G114" s="76"/>
    </row>
    <row r="115" ht="18.75" customHeight="1">
      <c r="A115" s="72"/>
      <c r="B115" s="73"/>
      <c r="C115" s="87"/>
      <c r="D115" s="74"/>
      <c r="E115" s="74"/>
      <c r="F115" s="72"/>
      <c r="G115" s="76"/>
    </row>
    <row r="116" ht="18.75" customHeight="1">
      <c r="A116" s="72"/>
      <c r="B116" s="73"/>
      <c r="C116" s="87"/>
      <c r="D116" s="74"/>
      <c r="E116" s="74"/>
      <c r="F116" s="72"/>
      <c r="G116" s="76"/>
    </row>
    <row r="117" ht="18.75" customHeight="1">
      <c r="A117" s="72"/>
      <c r="B117" s="73"/>
      <c r="C117" s="87"/>
      <c r="D117" s="74"/>
      <c r="E117" s="74"/>
      <c r="F117" s="72"/>
      <c r="G117" s="76"/>
    </row>
    <row r="118" ht="18.75" customHeight="1">
      <c r="A118" s="72"/>
      <c r="B118" s="73"/>
      <c r="C118" s="87"/>
      <c r="D118" s="74"/>
      <c r="E118" s="74"/>
      <c r="F118" s="72"/>
      <c r="G118" s="76"/>
    </row>
    <row r="119" ht="18.75" customHeight="1">
      <c r="A119" s="72"/>
      <c r="B119" s="73"/>
      <c r="C119" s="87"/>
      <c r="D119" s="74"/>
      <c r="E119" s="74"/>
      <c r="F119" s="72"/>
      <c r="G119" s="76"/>
    </row>
    <row r="120" ht="18.75" customHeight="1">
      <c r="A120" s="72"/>
      <c r="B120" s="73"/>
      <c r="C120" s="87"/>
      <c r="D120" s="74"/>
      <c r="E120" s="74"/>
      <c r="F120" s="72"/>
      <c r="G120" s="76"/>
    </row>
    <row r="121" ht="18.75" customHeight="1">
      <c r="A121" s="72"/>
      <c r="B121" s="73"/>
      <c r="C121" s="87"/>
      <c r="D121" s="74"/>
      <c r="E121" s="74"/>
      <c r="F121" s="72"/>
      <c r="G121" s="76"/>
    </row>
    <row r="122" ht="18.75" customHeight="1">
      <c r="A122" s="72"/>
      <c r="B122" s="73"/>
      <c r="C122" s="87"/>
      <c r="D122" s="74"/>
      <c r="E122" s="74"/>
      <c r="F122" s="72"/>
      <c r="G122" s="76"/>
    </row>
    <row r="123" ht="18.75" customHeight="1">
      <c r="A123" s="72"/>
      <c r="B123" s="73"/>
      <c r="C123" s="87"/>
      <c r="D123" s="74"/>
      <c r="E123" s="74"/>
      <c r="F123" s="72"/>
      <c r="G123" s="76"/>
    </row>
    <row r="124" ht="18.75" customHeight="1">
      <c r="A124" s="72"/>
      <c r="B124" s="73"/>
      <c r="C124" s="87"/>
      <c r="D124" s="74"/>
      <c r="E124" s="74"/>
      <c r="F124" s="72"/>
      <c r="G124" s="76"/>
    </row>
    <row r="125" ht="18.75" customHeight="1">
      <c r="A125" s="72"/>
      <c r="B125" s="73"/>
      <c r="C125" s="87"/>
      <c r="D125" s="74"/>
      <c r="E125" s="74"/>
      <c r="F125" s="72"/>
      <c r="G125" s="76"/>
    </row>
    <row r="126" ht="18.75" customHeight="1">
      <c r="A126" s="72"/>
      <c r="B126" s="73"/>
      <c r="C126" s="87"/>
      <c r="D126" s="74"/>
      <c r="E126" s="74"/>
      <c r="F126" s="72"/>
      <c r="G126" s="76"/>
    </row>
    <row r="127" ht="18.75" customHeight="1">
      <c r="A127" s="72"/>
      <c r="B127" s="73"/>
      <c r="C127" s="87"/>
      <c r="D127" s="74"/>
      <c r="E127" s="74"/>
      <c r="F127" s="72"/>
      <c r="G127" s="76"/>
    </row>
    <row r="128" ht="18.75" customHeight="1">
      <c r="A128" s="72"/>
      <c r="B128" s="73"/>
      <c r="C128" s="87"/>
      <c r="D128" s="74"/>
      <c r="E128" s="74"/>
      <c r="F128" s="72"/>
      <c r="G128" s="76"/>
    </row>
    <row r="129" ht="18.75" customHeight="1">
      <c r="A129" s="72"/>
      <c r="B129" s="73"/>
      <c r="C129" s="87"/>
      <c r="D129" s="74"/>
      <c r="E129" s="74"/>
      <c r="F129" s="72"/>
      <c r="G129" s="76"/>
    </row>
    <row r="130" ht="18.75" customHeight="1">
      <c r="A130" s="72"/>
      <c r="B130" s="73"/>
      <c r="C130" s="87"/>
      <c r="D130" s="74"/>
      <c r="E130" s="74"/>
      <c r="F130" s="72"/>
      <c r="G130" s="76"/>
    </row>
    <row r="131" ht="18.75" customHeight="1">
      <c r="A131" s="72"/>
      <c r="B131" s="73"/>
      <c r="C131" s="87"/>
      <c r="D131" s="74"/>
      <c r="E131" s="74"/>
      <c r="F131" s="72"/>
      <c r="G131" s="76"/>
    </row>
    <row r="132" ht="18.75" customHeight="1">
      <c r="A132" s="72"/>
      <c r="B132" s="73"/>
      <c r="C132" s="87"/>
      <c r="D132" s="74"/>
      <c r="E132" s="74"/>
      <c r="F132" s="72"/>
      <c r="G132" s="76"/>
    </row>
    <row r="133" ht="18.75" customHeight="1">
      <c r="A133" s="72"/>
      <c r="B133" s="73"/>
      <c r="C133" s="87"/>
      <c r="D133" s="74"/>
      <c r="E133" s="74"/>
      <c r="F133" s="72"/>
      <c r="G133" s="76"/>
    </row>
    <row r="134" ht="18.75" customHeight="1">
      <c r="A134" s="72"/>
      <c r="B134" s="73"/>
      <c r="C134" s="87"/>
      <c r="D134" s="74"/>
      <c r="E134" s="74"/>
      <c r="F134" s="72"/>
      <c r="G134" s="76"/>
    </row>
    <row r="135" ht="18.75" customHeight="1">
      <c r="A135" s="72"/>
      <c r="B135" s="73"/>
      <c r="C135" s="87"/>
      <c r="D135" s="74"/>
      <c r="E135" s="74"/>
      <c r="F135" s="72"/>
      <c r="G135" s="76"/>
    </row>
    <row r="136" ht="18.75" customHeight="1">
      <c r="A136" s="72"/>
      <c r="B136" s="73"/>
      <c r="C136" s="87"/>
      <c r="D136" s="74"/>
      <c r="E136" s="74"/>
      <c r="F136" s="72"/>
      <c r="G136" s="76"/>
    </row>
    <row r="137" ht="18.75" customHeight="1">
      <c r="A137" s="72"/>
      <c r="B137" s="73"/>
      <c r="C137" s="87"/>
      <c r="D137" s="74"/>
      <c r="E137" s="74"/>
      <c r="F137" s="72"/>
      <c r="G137" s="76"/>
    </row>
    <row r="138" ht="18.75" customHeight="1">
      <c r="A138" s="72"/>
      <c r="B138" s="73"/>
      <c r="C138" s="87"/>
      <c r="D138" s="74"/>
      <c r="E138" s="74"/>
      <c r="F138" s="72"/>
      <c r="G138" s="76"/>
    </row>
    <row r="139" ht="18.75" customHeight="1">
      <c r="A139" s="72"/>
      <c r="B139" s="73"/>
      <c r="C139" s="87"/>
      <c r="D139" s="74"/>
      <c r="E139" s="74"/>
      <c r="F139" s="72"/>
      <c r="G139" s="76"/>
    </row>
    <row r="140" ht="18.75" customHeight="1">
      <c r="A140" s="72"/>
      <c r="B140" s="73"/>
      <c r="C140" s="87"/>
      <c r="D140" s="74"/>
      <c r="E140" s="74"/>
      <c r="F140" s="72"/>
      <c r="G140" s="76"/>
    </row>
    <row r="141" ht="18.75" customHeight="1">
      <c r="A141" s="72"/>
      <c r="B141" s="73"/>
      <c r="C141" s="87"/>
      <c r="D141" s="74"/>
      <c r="E141" s="74"/>
      <c r="F141" s="72"/>
      <c r="G141" s="76"/>
    </row>
    <row r="142" ht="18.75" customHeight="1">
      <c r="A142" s="72"/>
      <c r="B142" s="73"/>
      <c r="C142" s="87"/>
      <c r="D142" s="74"/>
      <c r="E142" s="74"/>
      <c r="F142" s="72"/>
      <c r="G142" s="76"/>
    </row>
    <row r="143" ht="18.75" customHeight="1">
      <c r="A143" s="72"/>
      <c r="B143" s="73"/>
      <c r="C143" s="87"/>
      <c r="D143" s="74"/>
      <c r="E143" s="74"/>
      <c r="F143" s="72"/>
      <c r="G143" s="76"/>
    </row>
    <row r="144" ht="18.75" customHeight="1">
      <c r="A144" s="72"/>
      <c r="B144" s="73"/>
      <c r="C144" s="87"/>
      <c r="D144" s="74"/>
      <c r="E144" s="74"/>
      <c r="F144" s="72"/>
      <c r="G144" s="76"/>
    </row>
    <row r="145" ht="18.75" customHeight="1">
      <c r="A145" s="72"/>
      <c r="B145" s="73"/>
      <c r="C145" s="87"/>
      <c r="D145" s="74"/>
      <c r="E145" s="74"/>
      <c r="F145" s="72"/>
      <c r="G145" s="76"/>
    </row>
    <row r="146" ht="18.75" customHeight="1">
      <c r="A146" s="72"/>
      <c r="B146" s="73"/>
      <c r="C146" s="87"/>
      <c r="D146" s="74"/>
      <c r="E146" s="74"/>
      <c r="F146" s="72"/>
      <c r="G146" s="76"/>
    </row>
    <row r="147" ht="18.75" customHeight="1">
      <c r="A147" s="72"/>
      <c r="B147" s="73"/>
      <c r="C147" s="87"/>
      <c r="D147" s="74"/>
      <c r="E147" s="74"/>
      <c r="F147" s="72"/>
      <c r="G147" s="76"/>
    </row>
    <row r="148" ht="18.75" customHeight="1">
      <c r="A148" s="72"/>
      <c r="B148" s="73"/>
      <c r="C148" s="87"/>
      <c r="D148" s="74"/>
      <c r="E148" s="74"/>
      <c r="F148" s="72"/>
      <c r="G148" s="76"/>
    </row>
    <row r="149" ht="18.75" customHeight="1">
      <c r="A149" s="72"/>
      <c r="B149" s="73"/>
      <c r="C149" s="87"/>
      <c r="D149" s="74"/>
      <c r="E149" s="74"/>
      <c r="F149" s="72"/>
      <c r="G149" s="76"/>
    </row>
    <row r="150" ht="18.75" customHeight="1">
      <c r="A150" s="72"/>
      <c r="B150" s="73"/>
      <c r="C150" s="87"/>
      <c r="D150" s="74"/>
      <c r="E150" s="74"/>
      <c r="F150" s="72"/>
      <c r="G150" s="76"/>
    </row>
    <row r="151" ht="18.75" customHeight="1">
      <c r="A151" s="72"/>
      <c r="B151" s="73"/>
      <c r="C151" s="87"/>
      <c r="D151" s="74"/>
      <c r="E151" s="74"/>
      <c r="F151" s="72"/>
      <c r="G151" s="76"/>
    </row>
    <row r="152" ht="18.75" customHeight="1">
      <c r="A152" s="72"/>
      <c r="B152" s="73"/>
      <c r="C152" s="87"/>
      <c r="D152" s="74"/>
      <c r="E152" s="74"/>
      <c r="F152" s="72"/>
      <c r="G152" s="76"/>
    </row>
    <row r="153" ht="18.75" customHeight="1">
      <c r="A153" s="72"/>
      <c r="B153" s="73"/>
      <c r="C153" s="87"/>
      <c r="D153" s="74"/>
      <c r="E153" s="74"/>
      <c r="F153" s="72"/>
      <c r="G153" s="76"/>
    </row>
    <row r="154" ht="18.75" customHeight="1">
      <c r="A154" s="72"/>
      <c r="B154" s="73"/>
      <c r="C154" s="87"/>
      <c r="D154" s="74"/>
      <c r="E154" s="74"/>
      <c r="F154" s="72"/>
      <c r="G154" s="76"/>
    </row>
    <row r="155" ht="18.75" customHeight="1">
      <c r="A155" s="72"/>
      <c r="B155" s="73"/>
      <c r="C155" s="87"/>
      <c r="D155" s="74"/>
      <c r="E155" s="74"/>
      <c r="F155" s="72"/>
      <c r="G155" s="76"/>
    </row>
    <row r="156" ht="18.75" customHeight="1">
      <c r="A156" s="72"/>
      <c r="B156" s="73"/>
      <c r="C156" s="87"/>
      <c r="D156" s="74"/>
      <c r="E156" s="74"/>
      <c r="F156" s="72"/>
      <c r="G156" s="76"/>
    </row>
    <row r="157" ht="18.75" customHeight="1">
      <c r="A157" s="72"/>
      <c r="B157" s="73"/>
      <c r="C157" s="87"/>
      <c r="D157" s="74"/>
      <c r="E157" s="74"/>
      <c r="F157" s="72"/>
      <c r="G157" s="76"/>
    </row>
    <row r="158" ht="18.75" customHeight="1">
      <c r="A158" s="72"/>
      <c r="B158" s="73"/>
      <c r="C158" s="87"/>
      <c r="D158" s="74"/>
      <c r="E158" s="74"/>
      <c r="F158" s="72"/>
      <c r="G158" s="76"/>
    </row>
    <row r="159" ht="18.75" customHeight="1">
      <c r="A159" s="72"/>
      <c r="B159" s="73"/>
      <c r="C159" s="87"/>
      <c r="D159" s="74"/>
      <c r="E159" s="74"/>
      <c r="F159" s="72"/>
      <c r="G159" s="76"/>
    </row>
    <row r="160" ht="18.75" customHeight="1">
      <c r="A160" s="72"/>
      <c r="B160" s="73"/>
      <c r="C160" s="87"/>
      <c r="D160" s="74"/>
      <c r="E160" s="74"/>
      <c r="F160" s="72"/>
      <c r="G160" s="76"/>
    </row>
    <row r="161" ht="18.75" customHeight="1">
      <c r="A161" s="72"/>
      <c r="B161" s="73"/>
      <c r="C161" s="87"/>
      <c r="D161" s="74"/>
      <c r="E161" s="74"/>
      <c r="F161" s="72"/>
      <c r="G161" s="76"/>
    </row>
    <row r="162" ht="18.75" customHeight="1">
      <c r="A162" s="72"/>
      <c r="B162" s="73"/>
      <c r="C162" s="87"/>
      <c r="D162" s="74"/>
      <c r="E162" s="74"/>
      <c r="F162" s="72"/>
      <c r="G162" s="76"/>
    </row>
    <row r="163" ht="18.75" customHeight="1">
      <c r="A163" s="72"/>
      <c r="B163" s="73"/>
      <c r="C163" s="87"/>
      <c r="D163" s="74"/>
      <c r="E163" s="74"/>
      <c r="F163" s="72"/>
      <c r="G163" s="76"/>
    </row>
    <row r="164" ht="18.75" customHeight="1">
      <c r="A164" s="72"/>
      <c r="B164" s="73"/>
      <c r="C164" s="87"/>
      <c r="D164" s="74"/>
      <c r="E164" s="74"/>
      <c r="F164" s="72"/>
      <c r="G164" s="76"/>
    </row>
    <row r="165" ht="18.75" customHeight="1">
      <c r="A165" s="72"/>
      <c r="B165" s="73"/>
      <c r="C165" s="87"/>
      <c r="D165" s="74"/>
      <c r="E165" s="74"/>
      <c r="F165" s="72"/>
      <c r="G165" s="76"/>
    </row>
    <row r="166" ht="18.75" customHeight="1">
      <c r="A166" s="72"/>
      <c r="B166" s="73"/>
      <c r="C166" s="87"/>
      <c r="D166" s="74"/>
      <c r="E166" s="74"/>
      <c r="F166" s="72"/>
      <c r="G166" s="76"/>
    </row>
    <row r="167" ht="18.75" customHeight="1">
      <c r="A167" s="72"/>
      <c r="B167" s="73"/>
      <c r="C167" s="87"/>
      <c r="D167" s="74"/>
      <c r="E167" s="74"/>
      <c r="F167" s="72"/>
      <c r="G167" s="76"/>
    </row>
    <row r="168" ht="18.75" customHeight="1">
      <c r="A168" s="72"/>
      <c r="B168" s="73"/>
      <c r="C168" s="87"/>
      <c r="D168" s="74"/>
      <c r="E168" s="74"/>
      <c r="F168" s="72"/>
      <c r="G168" s="76"/>
    </row>
    <row r="169" ht="18.75" customHeight="1">
      <c r="A169" s="72"/>
      <c r="B169" s="73"/>
      <c r="C169" s="87"/>
      <c r="D169" s="74"/>
      <c r="E169" s="74"/>
      <c r="F169" s="72"/>
      <c r="G169" s="76"/>
    </row>
    <row r="170" ht="18.75" customHeight="1">
      <c r="A170" s="72"/>
      <c r="B170" s="73"/>
      <c r="C170" s="87"/>
      <c r="D170" s="74"/>
      <c r="E170" s="74"/>
      <c r="F170" s="72"/>
      <c r="G170" s="76"/>
    </row>
    <row r="171" ht="18.75" customHeight="1">
      <c r="A171" s="72"/>
      <c r="B171" s="73"/>
      <c r="C171" s="87"/>
      <c r="D171" s="74"/>
      <c r="E171" s="74"/>
      <c r="F171" s="72"/>
      <c r="G171" s="76"/>
    </row>
    <row r="172" ht="18.75" customHeight="1">
      <c r="A172" s="72"/>
      <c r="B172" s="73"/>
      <c r="C172" s="87"/>
      <c r="D172" s="74"/>
      <c r="E172" s="74"/>
      <c r="F172" s="72"/>
      <c r="G172" s="76"/>
    </row>
    <row r="173" ht="18.75" customHeight="1">
      <c r="A173" s="72"/>
      <c r="B173" s="73"/>
      <c r="C173" s="87"/>
      <c r="D173" s="74"/>
      <c r="E173" s="74"/>
      <c r="F173" s="72"/>
      <c r="G173" s="76"/>
    </row>
    <row r="174" ht="18.75" customHeight="1">
      <c r="A174" s="72"/>
      <c r="B174" s="73"/>
      <c r="C174" s="87"/>
      <c r="D174" s="74"/>
      <c r="E174" s="74"/>
      <c r="F174" s="72"/>
      <c r="G174" s="76"/>
    </row>
    <row r="175" ht="18.75" customHeight="1">
      <c r="A175" s="72"/>
      <c r="B175" s="73"/>
      <c r="C175" s="87"/>
      <c r="D175" s="74"/>
      <c r="E175" s="74"/>
      <c r="F175" s="72"/>
      <c r="G175" s="76"/>
    </row>
    <row r="176" ht="18.75" customHeight="1">
      <c r="A176" s="72"/>
      <c r="B176" s="73"/>
      <c r="C176" s="87"/>
      <c r="D176" s="74"/>
      <c r="E176" s="74"/>
      <c r="F176" s="72"/>
      <c r="G176" s="76"/>
    </row>
    <row r="177" ht="18.75" customHeight="1">
      <c r="A177" s="72"/>
      <c r="B177" s="73"/>
      <c r="C177" s="87"/>
      <c r="D177" s="74"/>
      <c r="E177" s="74"/>
      <c r="F177" s="72"/>
      <c r="G177" s="76"/>
    </row>
    <row r="178" ht="18.75" customHeight="1">
      <c r="A178" s="72"/>
      <c r="B178" s="73"/>
      <c r="C178" s="87"/>
      <c r="D178" s="74"/>
      <c r="E178" s="74"/>
      <c r="F178" s="72"/>
      <c r="G178" s="76"/>
    </row>
    <row r="179" ht="18.75" customHeight="1">
      <c r="A179" s="72"/>
      <c r="B179" s="73"/>
      <c r="C179" s="87"/>
      <c r="D179" s="74"/>
      <c r="E179" s="74"/>
      <c r="F179" s="72"/>
      <c r="G179" s="76"/>
    </row>
    <row r="180" ht="18.75" customHeight="1">
      <c r="A180" s="72"/>
      <c r="B180" s="73"/>
      <c r="C180" s="87"/>
      <c r="D180" s="74"/>
      <c r="E180" s="74"/>
      <c r="F180" s="72"/>
      <c r="G180" s="76"/>
    </row>
    <row r="181" ht="18.75" customHeight="1">
      <c r="A181" s="72"/>
      <c r="B181" s="73"/>
      <c r="C181" s="87"/>
      <c r="D181" s="74"/>
      <c r="E181" s="74"/>
      <c r="F181" s="72"/>
      <c r="G181" s="76"/>
    </row>
    <row r="182" ht="18.75" customHeight="1">
      <c r="A182" s="72"/>
      <c r="B182" s="73"/>
      <c r="C182" s="87"/>
      <c r="D182" s="74"/>
      <c r="E182" s="74"/>
      <c r="F182" s="72"/>
      <c r="G182" s="76"/>
    </row>
    <row r="183" ht="18.75" customHeight="1">
      <c r="A183" s="72"/>
      <c r="B183" s="73"/>
      <c r="C183" s="87"/>
      <c r="D183" s="74"/>
      <c r="E183" s="74"/>
      <c r="F183" s="72"/>
      <c r="G183" s="76"/>
    </row>
    <row r="184" ht="18.75" customHeight="1">
      <c r="A184" s="72"/>
      <c r="B184" s="73"/>
      <c r="C184" s="87"/>
      <c r="D184" s="74"/>
      <c r="E184" s="74"/>
      <c r="F184" s="72"/>
      <c r="G184" s="76"/>
    </row>
    <row r="185" ht="18.75" customHeight="1">
      <c r="A185" s="72"/>
      <c r="B185" s="73"/>
      <c r="C185" s="87"/>
      <c r="D185" s="74"/>
      <c r="E185" s="74"/>
      <c r="F185" s="72"/>
      <c r="G185" s="76"/>
    </row>
    <row r="186" ht="18.75" customHeight="1">
      <c r="A186" s="72"/>
      <c r="B186" s="73"/>
      <c r="C186" s="87"/>
      <c r="D186" s="74"/>
      <c r="E186" s="74"/>
      <c r="F186" s="72"/>
      <c r="G186" s="76"/>
    </row>
    <row r="187" ht="18.75" customHeight="1">
      <c r="A187" s="72"/>
      <c r="B187" s="73"/>
      <c r="C187" s="87"/>
      <c r="D187" s="74"/>
      <c r="E187" s="74"/>
      <c r="F187" s="72"/>
      <c r="G187" s="76"/>
    </row>
    <row r="188" ht="18.75" customHeight="1">
      <c r="A188" s="72"/>
      <c r="B188" s="73"/>
      <c r="C188" s="87"/>
      <c r="D188" s="74"/>
      <c r="E188" s="74"/>
      <c r="F188" s="72"/>
      <c r="G188" s="76"/>
    </row>
    <row r="189" ht="18.75" customHeight="1">
      <c r="A189" s="72"/>
      <c r="B189" s="73"/>
      <c r="C189" s="87"/>
      <c r="D189" s="74"/>
      <c r="E189" s="74"/>
      <c r="F189" s="72"/>
      <c r="G189" s="76"/>
    </row>
    <row r="190" ht="18.75" customHeight="1">
      <c r="A190" s="72"/>
      <c r="B190" s="73"/>
      <c r="C190" s="87"/>
      <c r="D190" s="74"/>
      <c r="E190" s="74"/>
      <c r="F190" s="72"/>
      <c r="G190" s="76"/>
    </row>
    <row r="191" ht="18.75" customHeight="1">
      <c r="A191" s="72"/>
      <c r="B191" s="73"/>
      <c r="C191" s="87"/>
      <c r="D191" s="74"/>
      <c r="E191" s="74"/>
      <c r="F191" s="72"/>
      <c r="G191" s="76"/>
    </row>
    <row r="192" ht="18.75" customHeight="1">
      <c r="A192" s="72"/>
      <c r="B192" s="73"/>
      <c r="C192" s="87"/>
      <c r="D192" s="74"/>
      <c r="E192" s="74"/>
      <c r="F192" s="72"/>
      <c r="G192" s="76"/>
    </row>
    <row r="193" ht="18.75" customHeight="1">
      <c r="A193" s="72"/>
      <c r="B193" s="73"/>
      <c r="C193" s="87"/>
      <c r="D193" s="74"/>
      <c r="E193" s="74"/>
      <c r="F193" s="72"/>
      <c r="G193" s="76"/>
    </row>
    <row r="194" ht="18.75" customHeight="1">
      <c r="A194" s="72"/>
      <c r="B194" s="73"/>
      <c r="C194" s="87"/>
      <c r="D194" s="74"/>
      <c r="E194" s="74"/>
      <c r="F194" s="72"/>
      <c r="G194" s="76"/>
    </row>
    <row r="195" ht="18.75" customHeight="1">
      <c r="A195" s="72"/>
      <c r="B195" s="73"/>
      <c r="C195" s="87"/>
      <c r="D195" s="74"/>
      <c r="E195" s="74"/>
      <c r="F195" s="72"/>
      <c r="G195" s="76"/>
    </row>
    <row r="196" ht="18.75" customHeight="1">
      <c r="A196" s="72"/>
      <c r="B196" s="73"/>
      <c r="C196" s="87"/>
      <c r="D196" s="74"/>
      <c r="E196" s="74"/>
      <c r="F196" s="72"/>
      <c r="G196" s="76"/>
    </row>
    <row r="197" ht="18.75" customHeight="1">
      <c r="A197" s="72"/>
      <c r="B197" s="73"/>
      <c r="C197" s="87"/>
      <c r="D197" s="74"/>
      <c r="E197" s="74"/>
      <c r="F197" s="72"/>
      <c r="G197" s="76"/>
    </row>
    <row r="198" ht="18.75" customHeight="1">
      <c r="A198" s="72"/>
      <c r="B198" s="73"/>
      <c r="C198" s="87"/>
      <c r="D198" s="74"/>
      <c r="E198" s="74"/>
      <c r="F198" s="72"/>
      <c r="G198" s="76"/>
    </row>
    <row r="199" ht="18.75" customHeight="1">
      <c r="A199" s="72"/>
      <c r="B199" s="73"/>
      <c r="C199" s="87"/>
      <c r="D199" s="74"/>
      <c r="E199" s="74"/>
      <c r="F199" s="72"/>
      <c r="G199" s="76"/>
    </row>
    <row r="200" ht="18.75" customHeight="1">
      <c r="A200" s="72"/>
      <c r="B200" s="73"/>
      <c r="C200" s="87"/>
      <c r="D200" s="74"/>
      <c r="E200" s="74"/>
      <c r="F200" s="72"/>
      <c r="G200" s="76"/>
    </row>
    <row r="201" ht="18.75" customHeight="1">
      <c r="A201" s="72"/>
      <c r="B201" s="73"/>
      <c r="C201" s="87"/>
      <c r="D201" s="74"/>
      <c r="E201" s="74"/>
      <c r="F201" s="72"/>
      <c r="G201" s="76"/>
    </row>
    <row r="202" ht="18.75" customHeight="1">
      <c r="A202" s="72"/>
      <c r="B202" s="73"/>
      <c r="C202" s="87"/>
      <c r="D202" s="74"/>
      <c r="E202" s="74"/>
      <c r="F202" s="72"/>
      <c r="G202" s="76"/>
    </row>
    <row r="203" ht="18.75" customHeight="1">
      <c r="A203" s="72"/>
      <c r="B203" s="73"/>
      <c r="C203" s="87"/>
      <c r="D203" s="74"/>
      <c r="E203" s="74"/>
      <c r="F203" s="72"/>
      <c r="G203" s="76"/>
    </row>
    <row r="204" ht="18.75" customHeight="1">
      <c r="A204" s="72"/>
      <c r="B204" s="73"/>
      <c r="C204" s="87"/>
      <c r="D204" s="74"/>
      <c r="E204" s="74"/>
      <c r="F204" s="72"/>
      <c r="G204" s="76"/>
    </row>
    <row r="205" ht="18.75" customHeight="1">
      <c r="A205" s="72"/>
      <c r="B205" s="73"/>
      <c r="C205" s="87"/>
      <c r="D205" s="74"/>
      <c r="E205" s="74"/>
      <c r="F205" s="72"/>
      <c r="G205" s="76"/>
    </row>
    <row r="206" ht="18.75" customHeight="1">
      <c r="A206" s="72"/>
      <c r="B206" s="73"/>
      <c r="C206" s="87"/>
      <c r="D206" s="74"/>
      <c r="E206" s="74"/>
      <c r="F206" s="72"/>
      <c r="G206" s="76"/>
    </row>
    <row r="207" ht="18.75" customHeight="1">
      <c r="A207" s="72"/>
      <c r="B207" s="73"/>
      <c r="C207" s="87"/>
      <c r="D207" s="74"/>
      <c r="E207" s="74"/>
      <c r="F207" s="72"/>
      <c r="G207" s="76"/>
    </row>
    <row r="208" ht="18.75" customHeight="1">
      <c r="A208" s="72"/>
      <c r="B208" s="73"/>
      <c r="C208" s="87"/>
      <c r="D208" s="74"/>
      <c r="E208" s="74"/>
      <c r="F208" s="72"/>
      <c r="G208" s="76"/>
    </row>
    <row r="209" ht="18.75" customHeight="1">
      <c r="A209" s="72"/>
      <c r="B209" s="73"/>
      <c r="C209" s="87"/>
      <c r="D209" s="74"/>
      <c r="E209" s="74"/>
      <c r="F209" s="72"/>
      <c r="G209" s="76"/>
    </row>
    <row r="210" ht="18.75" customHeight="1">
      <c r="A210" s="72"/>
      <c r="B210" s="73"/>
      <c r="C210" s="87"/>
      <c r="D210" s="74"/>
      <c r="E210" s="74"/>
      <c r="F210" s="72"/>
      <c r="G210" s="76"/>
    </row>
    <row r="211" ht="18.75" customHeight="1">
      <c r="A211" s="72"/>
      <c r="B211" s="73"/>
      <c r="C211" s="87"/>
      <c r="D211" s="74"/>
      <c r="E211" s="74"/>
      <c r="F211" s="72"/>
      <c r="G211" s="76"/>
    </row>
    <row r="212" ht="18.75" customHeight="1">
      <c r="A212" s="72"/>
      <c r="B212" s="73"/>
      <c r="C212" s="87"/>
      <c r="D212" s="74"/>
      <c r="E212" s="74"/>
      <c r="F212" s="72"/>
      <c r="G212" s="76"/>
    </row>
    <row r="213" ht="18.75" customHeight="1">
      <c r="A213" s="72"/>
      <c r="B213" s="73"/>
      <c r="C213" s="87"/>
      <c r="D213" s="74"/>
      <c r="E213" s="74"/>
      <c r="F213" s="72"/>
      <c r="G213" s="76"/>
    </row>
    <row r="214" ht="18.75" customHeight="1">
      <c r="A214" s="72"/>
      <c r="B214" s="73"/>
      <c r="C214" s="87"/>
      <c r="D214" s="74"/>
      <c r="E214" s="74"/>
      <c r="F214" s="72"/>
      <c r="G214" s="76"/>
    </row>
    <row r="215" ht="18.75" customHeight="1">
      <c r="A215" s="72"/>
      <c r="B215" s="73"/>
      <c r="C215" s="87"/>
      <c r="D215" s="74"/>
      <c r="E215" s="74"/>
      <c r="F215" s="72"/>
      <c r="G215" s="76"/>
    </row>
    <row r="216" ht="18.75" customHeight="1">
      <c r="A216" s="72"/>
      <c r="B216" s="73"/>
      <c r="C216" s="87"/>
      <c r="D216" s="74"/>
      <c r="E216" s="74"/>
      <c r="F216" s="72"/>
      <c r="G216" s="76"/>
    </row>
    <row r="217" ht="18.75" customHeight="1">
      <c r="A217" s="72"/>
      <c r="B217" s="73"/>
      <c r="C217" s="87"/>
      <c r="D217" s="74"/>
      <c r="E217" s="74"/>
      <c r="F217" s="72"/>
      <c r="G217" s="76"/>
    </row>
    <row r="218" ht="18.75" customHeight="1">
      <c r="A218" s="72"/>
      <c r="B218" s="73"/>
      <c r="C218" s="87"/>
      <c r="D218" s="74"/>
      <c r="E218" s="74"/>
      <c r="F218" s="72"/>
      <c r="G218" s="76"/>
    </row>
    <row r="219" ht="18.75" customHeight="1">
      <c r="A219" s="72"/>
      <c r="B219" s="73"/>
      <c r="C219" s="87"/>
      <c r="D219" s="74"/>
      <c r="E219" s="74"/>
      <c r="F219" s="72"/>
      <c r="G219" s="76"/>
    </row>
    <row r="220" ht="18.75" customHeight="1">
      <c r="A220" s="72"/>
      <c r="B220" s="73"/>
      <c r="C220" s="87"/>
      <c r="D220" s="74"/>
      <c r="E220" s="74"/>
      <c r="F220" s="72"/>
      <c r="G220" s="76"/>
    </row>
    <row r="221" ht="18.75" customHeight="1">
      <c r="A221" s="72"/>
      <c r="B221" s="73"/>
      <c r="C221" s="87"/>
      <c r="D221" s="74"/>
      <c r="E221" s="74"/>
      <c r="F221" s="72"/>
      <c r="G221" s="76"/>
    </row>
    <row r="222" ht="18.75" customHeight="1">
      <c r="A222" s="72"/>
      <c r="B222" s="73"/>
      <c r="C222" s="87"/>
      <c r="D222" s="74"/>
      <c r="E222" s="74"/>
      <c r="F222" s="72"/>
      <c r="G222" s="76"/>
    </row>
    <row r="223" ht="18.75" customHeight="1">
      <c r="A223" s="72"/>
      <c r="B223" s="73"/>
      <c r="C223" s="87"/>
      <c r="D223" s="74"/>
      <c r="E223" s="74"/>
      <c r="F223" s="72"/>
      <c r="G223" s="76"/>
    </row>
    <row r="224" ht="18.75" customHeight="1">
      <c r="A224" s="72"/>
      <c r="B224" s="59"/>
      <c r="C224" s="87"/>
      <c r="D224" s="74"/>
      <c r="E224" s="74"/>
      <c r="F224" s="72"/>
      <c r="G224" s="76"/>
    </row>
    <row r="225" ht="15.75" customHeight="1">
      <c r="B225" s="59"/>
    </row>
    <row r="226" ht="15.75" customHeight="1">
      <c r="B226" s="59"/>
    </row>
    <row r="227" ht="15.75" customHeight="1">
      <c r="B227" s="59"/>
    </row>
    <row r="228" ht="15.75" customHeight="1">
      <c r="B228" s="59"/>
    </row>
    <row r="229" ht="15.75" customHeight="1">
      <c r="B229" s="59"/>
    </row>
    <row r="230" ht="15.75" customHeight="1">
      <c r="B230" s="59"/>
    </row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2022-08-11T15:54:33Z</dcterms:created>
  <dc:creator>SM-N986N</dc:creator>
</cp:coreProperties>
</file>